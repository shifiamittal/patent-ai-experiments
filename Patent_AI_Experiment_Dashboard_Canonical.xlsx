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d89105b8df4c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335235a76a54e53"/>
    <x:sheet xmlns:r="http://schemas.openxmlformats.org/officeDocument/2006/relationships" name="Experiment Log" sheetId="2" r:id="Rf15bf277183144aa"/>
    <x:sheet xmlns:r="http://schemas.openxmlformats.org/officeDocument/2006/relationships" name="Benchmark Inputs" sheetId="3" r:id="R8f1ef3d204704bbb"/>
    <x:sheet xmlns:r="http://schemas.openxmlformats.org/officeDocument/2006/relationships" name="Component Versions" sheetId="4" r:id="R21cf4aa0f9ec41c3"/>
    <x:sheet xmlns:r="http://schemas.openxmlformats.org/officeDocument/2006/relationships" name="Metric Definitions" sheetId="5" r:id="R3cbade6532cc4f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894878a93845ec" /><Relationship Type="http://schemas.openxmlformats.org/officeDocument/2006/relationships/theme" Target="/xl/theme/theme1.xml" Id="R66ba72c024b74969" /><Relationship Type="http://schemas.openxmlformats.org/officeDocument/2006/relationships/sharedStrings" Target="/xl/sharedStrings.xml" Id="R967203e07b714655" /><Relationship Type="http://schemas.openxmlformats.org/officeDocument/2006/relationships/worksheet" Target="/xl/worksheets/sheet1.xml" Id="R6335235a76a54e53" /><Relationship Type="http://schemas.openxmlformats.org/officeDocument/2006/relationships/worksheet" Target="/xl/worksheets/sheet2.xml" Id="Rf15bf277183144aa" /><Relationship Type="http://schemas.openxmlformats.org/officeDocument/2006/relationships/worksheet" Target="/xl/worksheets/sheet3.xml" Id="R8f1ef3d204704bbb" /><Relationship Type="http://schemas.openxmlformats.org/officeDocument/2006/relationships/worksheet" Target="/xl/worksheets/sheet4.xml" Id="R21cf4aa0f9ec41c3" /><Relationship Type="http://schemas.openxmlformats.org/officeDocument/2006/relationships/worksheet" Target="/xl/worksheets/sheet5.xml" Id="R3cbade6532cc4f98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254b7d60c741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04510f303247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4f23c1aeec4b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75faaeeffe4e1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16</x:v>
      </x:c>
    </x:row>
    <x:row r="6">
      <x:c r="A6" t="str">
        <x:v>Current System</x:v>
      </x:c>
      <x:c r="B6" t="str">
        <x:v>Retrieval baseline + candidate reranker + validated evidence assist</x:v>
      </x:c>
      <x:c r="D6" t="str">
        <x:v>Promoted experiments</x:v>
      </x:c>
      <x:c r="E6" t="n">
        <x:f>COUNTIF('Experiment Log'!U2:U200,"PROMOTE")</x:f>
        <x:v>0</x:v>
      </x:c>
    </x:row>
    <x:row r="7">
      <x:c r="A7" t="str">
        <x:v>Current Champion</x:v>
      </x:c>
      <x:c r="B7" t="str">
        <x:v>None yet — reranker not promoted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Current Experiment</x:v>
      </x:c>
      <x:c r="B8" t="str">
        <x:v>EXP-014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IF(COUNT('Experiment Log'!N2:N200)=0,"N/A",MAX('Experiment Log'!N2:N200))</x:f>
        <x:v>0.45</x:v>
      </x:c>
    </x:row>
    <x:row r="10">
      <x:c r="D10" t="str">
        <x:v>Best median GOLD rank</x:v>
      </x:c>
      <x:c r="E10" s="45" t="n">
        <x:f>MIN('Experiment Log'!P2:P200)</x:f>
        <x:v>90.5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 ht="70" customHeight="1">
      <x:c r="A22" s="24" t="str">
        <x:v>EXP-013</x:v>
      </x:c>
      <x:c r="B22" s="24" t="str">
        <x:v>Blind title/abstract reranking</x:v>
      </x:c>
      <x:c r="C22" s="24" t="str">
        <x:v>Done</x:v>
      </x:c>
      <x:c r="D22" s="24" t="str">
        <x:v>20%</x:v>
      </x:c>
      <x:c r="E22" s="24" t="str">
        <x:v>40%</x:v>
      </x:c>
      <x:c r="F22" s="31" t="n">
        <x:v>0.45</x:v>
      </x:c>
      <x:c r="G22" s="24" t="str">
        <x:v>90.5</x:v>
      </x:c>
      <x:c r="H22" s="24" t="str">
        <x:v>HOLD / 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  <x:row r="25" ht="40" customHeight="1">
      <x:c r="A25" s="49" t="str">
        <x:v>EXP-013 completed adjudication</x:v>
      </x:c>
      <x:c r="B25" s="49" t="str">
        <x:v>Value</x:v>
      </x:c>
      <x:c r="C25" s="49" t="str">
        <x:v>Scope / limitation</x:v>
      </x:c>
      <x:c r="D25" s="49"/>
      <x:c r="E25" s="49"/>
      <x:c r="F25" s="49"/>
      <x:c r="G25" s="49"/>
      <x:c r="H25" s="49"/>
    </x:row>
    <x:row r="26" ht="42" customHeight="1">
      <x:c r="A26" s="52" t="str">
        <x:v>Newly adjudicated publications</x:v>
      </x:c>
      <x:c r="B26" s="55" t="n">
        <x:v>18</x:v>
      </x:c>
      <x:c r="C26" s="52" t="str">
        <x:v>Completed analyst decisions; two existing GOLD records are separate</x:v>
      </x:c>
      <x:c r="D26" s="52"/>
      <x:c r="E26" s="52"/>
      <x:c r="F26" s="52"/>
      <x:c r="G26" s="52"/>
      <x:c r="H26" s="52"/>
    </x:row>
    <x:row r="27" ht="42" customHeight="1">
      <x:c r="A27" s="52" t="str">
        <x:v>Include Yes</x:v>
      </x:c>
      <x:c r="B27" s="55" t="n">
        <x:v>7</x:v>
      </x:c>
      <x:c r="C27" s="52" t="str">
        <x:v>Newly adjudicated publications</x:v>
      </x:c>
      <x:c r="D27" s="52"/>
      <x:c r="E27" s="52"/>
      <x:c r="F27" s="52"/>
      <x:c r="G27" s="52"/>
      <x:c r="H27" s="52"/>
    </x:row>
    <x:row r="28" ht="42" customHeight="1">
      <x:c r="A28" s="52" t="str">
        <x:v>Include No</x:v>
      </x:c>
      <x:c r="B28" s="55" t="n">
        <x:v>11</x:v>
      </x:c>
      <x:c r="C28" s="52" t="str">
        <x:v>Newly adjudicated publications</x:v>
      </x:c>
      <x:c r="D28" s="52"/>
      <x:c r="E28" s="52"/>
      <x:c r="F28" s="52"/>
      <x:c r="G28" s="52"/>
      <x:c r="H28" s="52"/>
    </x:row>
    <x:row r="29" ht="42" customHeight="1">
      <x:c r="A29" s="52" t="str">
        <x:v>Publication inclusion yield</x:v>
      </x:c>
      <x:c r="B29" s="53" t="n">
        <x:f>B27/B26</x:f>
        <x:v>0.3888888888888889</x:v>
      </x:c>
      <x:c r="C29" s="52" t="str">
        <x:v>7/18 among newly adjudicated publications</x:v>
      </x:c>
      <x:c r="D29" s="52"/>
      <x:c r="E29" s="52"/>
      <x:c r="F29" s="52"/>
      <x:c r="G29" s="52"/>
      <x:c r="H29" s="52"/>
    </x:row>
    <x:row r="30" ht="42" customHeight="1">
      <x:c r="A30" s="52" t="str">
        <x:v>New analyst report groups</x:v>
      </x:c>
      <x:c r="B30" s="55" t="n">
        <x:v>15</x:v>
      </x:c>
      <x:c r="C30" s="52" t="str">
        <x:v>Three pairs grouped for client-report purposes; Questel IDs retained</x:v>
      </x:c>
      <x:c r="D30" s="52"/>
      <x:c r="E30" s="52"/>
      <x:c r="F30" s="52"/>
      <x:c r="G30" s="52"/>
      <x:c r="H30" s="52"/>
    </x:row>
    <x:row r="31" ht="42" customHeight="1">
      <x:c r="A31" s="52" t="str">
        <x:v>Includable new candidate groups</x:v>
      </x:c>
      <x:c r="B31" s="55" t="n">
        <x:v>5</x:v>
      </x:c>
      <x:c r="C31" s="52" t="str">
        <x:v>Candidate groups; not established net-new relevant families</x:v>
      </x:c>
      <x:c r="D31" s="52"/>
      <x:c r="E31" s="52"/>
      <x:c r="F31" s="52"/>
      <x:c r="G31" s="52"/>
      <x:c r="H31" s="52"/>
    </x:row>
    <x:row r="32" ht="42" customHeight="1">
      <x:c r="A32" s="52" t="str">
        <x:v>Excluded new candidate groups</x:v>
      </x:c>
      <x:c r="B32" s="55" t="n">
        <x:v>10</x:v>
      </x:c>
      <x:c r="C32" s="52" t="str">
        <x:v>Analyst report-family grouping</x:v>
      </x:c>
      <x:c r="D32" s="52"/>
      <x:c r="E32" s="52"/>
      <x:c r="F32" s="52"/>
      <x:c r="G32" s="52"/>
      <x:c r="H32" s="52"/>
    </x:row>
    <x:row r="33" ht="42" customHeight="1">
      <x:c r="A33" s="52" t="str">
        <x:v>New-candidate family yield</x:v>
      </x:c>
      <x:c r="B33" s="53" t="n">
        <x:f>B31/B30</x:f>
        <x:v>0.3333333333333333</x:v>
      </x:c>
      <x:c r="C33" s="52" t="str">
        <x:v>5/15 analyst-defined groups</x:v>
      </x:c>
      <x:c r="D33" s="52"/>
      <x:c r="E33" s="52"/>
      <x:c r="F33" s="52"/>
      <x:c r="G33" s="52"/>
      <x:c r="H33" s="52"/>
    </x:row>
    <x:row r="34" ht="42" customHeight="1">
      <x:c r="A34" s="52" t="str">
        <x:v>Top-20 publications evaluated</x:v>
      </x:c>
      <x:c r="B34" s="55" t="n">
        <x:v>20</x:v>
      </x:c>
      <x:c r="C34" s="52" t="str">
        <x:v>18 completed decisions plus two existing GOLD positives</x:v>
      </x:c>
      <x:c r="D34" s="52"/>
      <x:c r="E34" s="52"/>
      <x:c r="F34" s="52"/>
      <x:c r="G34" s="52"/>
      <x:c r="H34" s="52"/>
    </x:row>
    <x:row r="35" ht="42" customHeight="1">
      <x:c r="A35" s="52" t="str">
        <x:v>Top-20 positive publications</x:v>
      </x:c>
      <x:c r="B35" s="55" t="n">
        <x:v>9</x:v>
      </x:c>
      <x:c r="C35" s="52" t="str">
        <x:v>Includes the two existing GOLD records</x:v>
      </x:c>
      <x:c r="D35" s="52"/>
      <x:c r="E35" s="52"/>
      <x:c r="F35" s="52"/>
      <x:c r="G35" s="52"/>
      <x:c r="H35" s="52"/>
    </x:row>
    <x:row r="36" ht="42" customHeight="1">
      <x:c r="A36" s="52" t="str">
        <x:v>Publication Precision@20</x:v>
      </x:c>
      <x:c r="B36" s="54" t="n">
        <x:f>B35/B34</x:f>
        <x:v>0.45</x:v>
      </x:c>
      <x:c r="C36" s="52" t="str">
        <x:v>9/20 original ranked records; not Questel-family precision</x:v>
      </x:c>
      <x:c r="D36" s="52"/>
      <x:c r="E36" s="52"/>
      <x:c r="F36" s="52"/>
      <x:c r="G36" s="52"/>
      <x:c r="H36" s="52"/>
    </x:row>
    <x:row r="37" ht="42" customHeight="1">
      <x:c r="A37" s="52" t="str">
        <x:v>Top-20 analyst report groups</x:v>
      </x:c>
      <x:c r="B37" s="55" t="n">
        <x:v>17</x:v>
      </x:c>
      <x:c r="C37" s="52" t="str">
        <x:v>No source rows or Questel identifiers merged</x:v>
      </x:c>
      <x:c r="D37" s="52"/>
      <x:c r="E37" s="52"/>
      <x:c r="F37" s="52"/>
      <x:c r="G37" s="52"/>
      <x:c r="H37" s="52"/>
    </x:row>
    <x:row r="38" ht="42" customHeight="1">
      <x:c r="A38" s="52" t="str">
        <x:v>Includable top-20 groups</x:v>
      </x:c>
      <x:c r="B38" s="55" t="n">
        <x:v>7</x:v>
      </x:c>
      <x:c r="C38" s="52" t="str">
        <x:v>Analyst report-family grouping</x:v>
      </x:c>
      <x:c r="D38" s="52"/>
      <x:c r="E38" s="52"/>
      <x:c r="F38" s="52"/>
      <x:c r="G38" s="52"/>
      <x:c r="H38" s="52"/>
    </x:row>
    <x:row r="39" ht="42" customHeight="1">
      <x:c r="A39" s="52" t="str">
        <x:v>Excluded top-20 groups</x:v>
      </x:c>
      <x:c r="B39" s="55" t="n">
        <x:v>10</x:v>
      </x:c>
      <x:c r="C39" s="52" t="str">
        <x:v>Analyst report-family grouping</x:v>
      </x:c>
      <x:c r="D39" s="52"/>
      <x:c r="E39" s="52"/>
      <x:c r="F39" s="52"/>
      <x:c r="G39" s="52"/>
      <x:c r="H39" s="52"/>
    </x:row>
    <x:row r="40" ht="42" customHeight="1">
      <x:c r="A40" s="52" t="str">
        <x:v>Report-inclusion yield@20</x:v>
      </x:c>
      <x:c r="B40" s="53" t="n">
        <x:f>B38/B37</x:f>
        <x:v>0.4117647058823529</x:v>
      </x:c>
      <x:c r="C40" s="52" t="str">
        <x:v>7/17 family-deduplicated analyst report groups</x:v>
      </x:c>
      <x:c r="D40" s="52"/>
      <x:c r="E40" s="52"/>
      <x:c r="F40" s="52"/>
      <x:c r="G40" s="52"/>
      <x:c r="H40" s="52"/>
    </x:row>
    <x:row r="41" ht="42" customHeight="1">
      <x:c r="A41" s="52" t="str">
        <x:v>Net-new relevant-family yield</x:v>
      </x:c>
      <x:c r="B41" s="55" t="str">
        <x:v>N/A</x:v>
      </x:c>
      <x:c r="C41" s="52" t="str">
        <x:v>Complete historical-report comparison pending</x:v>
      </x:c>
      <x:c r="D41" s="52"/>
      <x:c r="E41" s="52"/>
      <x:c r="F41" s="52"/>
      <x:c r="G41" s="52"/>
      <x:c r="H41" s="52"/>
    </x:row>
    <x:row r="42" ht="42" customHeight="1">
      <x:c r="A42" s="52" t="str">
        <x:v>Analyst review minutes</x:v>
      </x:c>
      <x:c r="B42" s="55" t="str">
        <x:v>N/A</x:v>
      </x:c>
      <x:c r="C42" s="52" t="str">
        <x:v>Until supplied</x:v>
      </x:c>
      <x:c r="D42" s="52"/>
      <x:c r="E42" s="52"/>
      <x:c r="F42" s="52"/>
      <x:c r="G42" s="52"/>
      <x:c r="H42" s="52"/>
    </x:row>
    <x:row r="43" ht="42" customHeight="1">
      <x:c r="A43" s="52" t="str">
        <x:v>PA-001 status</x:v>
      </x:c>
      <x:c r="B43" s="55" t="str">
        <x:v>COMPLETED</x:v>
      </x:c>
      <x:c r="C43" s="52" t="str">
        <x:v>KZ6216U decision is abstract-only; not a claim of full-text availability</x:v>
      </x:c>
      <x:c r="D43" s="52"/>
      <x:c r="E43" s="52"/>
      <x:c r="F43" s="52"/>
      <x:c r="G43" s="52"/>
      <x:c r="H43" s="52"/>
    </x:row>
    <x:row r="44" ht="42" customHeight="1">
      <x:c r="A44" s="52" t="str">
        <x:v>Reconstructed mapping</x:v>
      </x:c>
      <x:c r="B44" s="55" t="str">
        <x:v>Ambiguity retained</x:v>
      </x:c>
      <x:c r="C44" s="52" t="str">
        <x:v>Ranks 6/7 remain unordered; same L/No decisions; no metric effect</x:v>
      </x:c>
      <x:c r="D44" s="52"/>
      <x:c r="E44" s="52"/>
      <x:c r="F44" s="52"/>
      <x:c r="G44" s="52"/>
      <x:c r="H44" s="52"/>
    </x:row>
    <x:row r="45" ht="42" customHeight="1">
      <x:c r="A45" s="52" t="str">
        <x:v>EXP-013 decision</x:v>
      </x:c>
      <x:c r="B45" s="55" t="str">
        <x:v>HOLD / INCONCLUSIVE</x:v>
      </x:c>
      <x:c r="C45" s="52" t="str">
        <x:v>V0 top 20 lacks equivalent adjudication; no promotion</x:v>
      </x:c>
      <x:c r="D45" s="52"/>
      <x:c r="E45" s="52"/>
      <x:c r="F45" s="52"/>
      <x:c r="G45" s="52"/>
      <x:c r="H45" s="52"/>
    </x:row>
    <x:row r="48" ht="32" customHeight="1">
      <x:c r="A48" s="59" t="str">
        <x:v>EXP-014 — Orbit versus frozen AI top-20 comparison</x:v>
      </x:c>
      <x:c r="B48" s="59"/>
      <x:c r="C48" s="59"/>
      <x:c r="D48" s="59"/>
      <x:c r="E48" s="59"/>
      <x:c r="F48" s="59"/>
      <x:c r="G48" s="59"/>
      <x:c r="H48" s="59"/>
    </x:row>
    <x:row r="49" ht="50" customHeight="1">
      <x:c r="A49" s="52" t="str">
        <x:v>Status</x:v>
      </x:c>
      <x:c r="B49" s="52" t="str">
        <x:v>AWAITING_ADJUDICATION</x:v>
      </x:c>
      <x:c r="C49" s="52" t="str">
        <x:v>Setup only; no final evaluation decision</x:v>
      </x:c>
      <x:c r="D49" s="52"/>
      <x:c r="E49" s="52"/>
      <x:c r="F49" s="52"/>
      <x:c r="G49" s="52"/>
      <x:c r="H49" s="52"/>
    </x:row>
    <x:row r="50" ht="50" customHeight="1">
      <x:c r="A50" s="52" t="str">
        <x:v>Baseline</x:v>
      </x:c>
      <x:c r="B50" s="52" t="str">
        <x:v>RUN-012 Orbit ordering</x:v>
      </x:c>
      <x:c r="C50" s="52" t="str">
        <x:v>Same frozen 3,238-family export</x:v>
      </x:c>
      <x:c r="D50" s="52"/>
      <x:c r="E50" s="52"/>
      <x:c r="F50" s="52"/>
      <x:c r="G50" s="52"/>
      <x:c r="H50" s="52"/>
    </x:row>
    <x:row r="51" ht="50" customHeight="1">
      <x:c r="A51" s="52" t="str">
        <x:v>Challenger</x:v>
      </x:c>
      <x:c r="B51" s="52" t="str">
        <x:v>rs_v0.2_blind_ta_rerank</x:v>
      </x:c>
      <x:c r="C51" s="52" t="str">
        <x:v>Frozen EXP-013 ranking</x:v>
      </x:c>
      <x:c r="D51" s="52"/>
      <x:c r="E51" s="52"/>
      <x:c r="F51" s="52"/>
      <x:c r="G51" s="52"/>
      <x:c r="H51" s="52"/>
    </x:row>
    <x:row r="52" ht="50" customHeight="1">
      <x:c r="A52" s="52" t="str">
        <x:v>Component evaluated</x:v>
      </x:c>
      <x:c r="B52" s="52" t="str">
        <x:v>Relevance Scorer</x:v>
      </x:c>
      <x:c r="C52" s="52" t="str">
        <x:v>Ranking evaluation; no model or system change</x:v>
      </x:c>
      <x:c r="D52" s="52"/>
      <x:c r="E52" s="52"/>
      <x:c r="F52" s="52"/>
      <x:c r="G52" s="52"/>
      <x:c r="H52" s="52"/>
    </x:row>
    <x:row r="53" ht="50" customHeight="1">
      <x:c r="A53" s="52" t="str">
        <x:v>Single primary change</x:v>
      </x:c>
      <x:c r="B53" s="52" t="str">
        <x:v>ordering method</x:v>
      </x:c>
      <x:c r="C53" s="52" t="str">
        <x:v>Disclosure, benchmark, universe, query/database, relevance standard, ground truth, rankings and family policy fixed</x:v>
      </x:c>
      <x:c r="D53" s="52"/>
      <x:c r="E53" s="52"/>
      <x:c r="F53" s="52"/>
      <x:c r="G53" s="52"/>
      <x:c r="H53" s="52"/>
    </x:row>
    <x:row r="54" ht="50" customHeight="1">
      <x:c r="A54" s="52" t="str">
        <x:v>Hypothesis</x:v>
      </x:c>
      <x:c r="B54" s="52" t="str">
        <x:v>At least 2 more includable groups</x:v>
      </x:c>
      <x:c r="C54" s="52" t="str">
        <x:v>V1 finds at least two more includable unique report-family groups in the first 20 publication slots and passes both recall guardrails</x:v>
      </x:c>
      <x:c r="D54" s="52"/>
      <x:c r="E54" s="52"/>
      <x:c r="F54" s="52"/>
      <x:c r="G54" s="52"/>
      <x:c r="H54" s="52"/>
    </x:row>
    <x:row r="55" ht="50" customHeight="1">
      <x:c r="A55" s="52" t="str">
        <x:v>Resolved publications</x:v>
      </x:c>
      <x:c r="B55" s="52" t="n">
        <x:v>2</x:v>
      </x:c>
      <x:c r="C55" s="52" t="str">
        <x:v>Existing decisions: WO2021194584A2 family H/Yes; CN207144670U L/No</x:v>
      </x:c>
      <x:c r="D55" s="52"/>
      <x:c r="E55" s="52"/>
      <x:c r="F55" s="52"/>
      <x:c r="G55" s="52"/>
      <x:c r="H55" s="52"/>
    </x:row>
    <x:row r="56" ht="50" customHeight="1">
      <x:c r="A56" s="52" t="str">
        <x:v>Unresolved publications</x:v>
      </x:c>
      <x:c r="B56" s="52" t="n">
        <x:v>18</x:v>
      </x:c>
      <x:c r="C56" s="52" t="str">
        <x:v>Shuffled analyst packet; no inferred labels</x:v>
      </x:c>
      <x:c r="D56" s="52"/>
      <x:c r="E56" s="52"/>
      <x:c r="F56" s="52"/>
      <x:c r="G56" s="52"/>
      <x:c r="H56" s="52"/>
    </x:row>
    <x:row r="57" ht="50" customHeight="1">
      <x:c r="A57" s="52" t="str">
        <x:v>Top-20 publication overlap</x:v>
      </x:c>
      <x:c r="B57" s="52" t="n">
        <x:v>1</x:v>
      </x:c>
      <x:c r="C57" s="52" t="str">
        <x:v>CN207144670U; Questel FAN overlap also one</x:v>
      </x:c>
      <x:c r="D57" s="52"/>
      <x:c r="E57" s="52"/>
      <x:c r="F57" s="52"/>
      <x:c r="G57" s="52"/>
      <x:c r="H57" s="52"/>
    </x:row>
    <x:row r="58" ht="50" customHeight="1">
      <x:c r="A58" s="52" t="str">
        <x:v>Known report groups</x:v>
      </x:c>
      <x:c r="B58" s="52" t="n">
        <x:v>2</x:v>
      </x:c>
      <x:c r="C58" s="52" t="str">
        <x:v>One includable, one excluded; unresolved families remain unassigned</x:v>
      </x:c>
      <x:c r="D58" s="52"/>
      <x:c r="E58" s="52"/>
      <x:c r="F58" s="52"/>
      <x:c r="G58" s="52"/>
      <x:c r="H58" s="52"/>
    </x:row>
    <x:row r="59" ht="50" customHeight="1">
      <x:c r="A59" s="52" t="str">
        <x:v>Primary metric: V0 includable groups</x:v>
      </x:c>
      <x:c r="B59" s="52" t="str">
        <x:v>N/A</x:v>
      </x:c>
      <x:c r="C59" s="52" t="str">
        <x:v>Number of analyst-includable unique report-family groups in first 20 publication slots</x:v>
      </x:c>
      <x:c r="D59" s="52"/>
      <x:c r="E59" s="52"/>
      <x:c r="F59" s="52"/>
      <x:c r="G59" s="52"/>
      <x:c r="H59" s="52"/>
    </x:row>
    <x:row r="60" ht="50" customHeight="1">
      <x:c r="A60" s="52" t="str">
        <x:v>V0 publication Precision@20</x:v>
      </x:c>
      <x:c r="B60" s="52" t="str">
        <x:v>N/A</x:v>
      </x:c>
      <x:c r="C60" s="52" t="str">
        <x:v>Pending complete adjudication</x:v>
      </x:c>
      <x:c r="D60" s="52"/>
      <x:c r="E60" s="52"/>
      <x:c r="F60" s="52"/>
      <x:c r="G60" s="52"/>
      <x:c r="H60" s="52"/>
    </x:row>
    <x:row r="61" ht="50" customHeight="1">
      <x:c r="A61" s="52" t="str">
        <x:v>V0 report-family inclusion yield</x:v>
      </x:c>
      <x:c r="B61" s="52" t="str">
        <x:v>N/A</x:v>
      </x:c>
      <x:c r="C61" s="52" t="str">
        <x:v>Pending complete adjudication and group reconciliation</x:v>
      </x:c>
      <x:c r="D61" s="52"/>
      <x:c r="E61" s="52"/>
      <x:c r="F61" s="52"/>
      <x:c r="G61" s="52"/>
      <x:c r="H61" s="52"/>
    </x:row>
    <x:row r="62" ht="50" customHeight="1">
      <x:c r="A62" s="52" t="str">
        <x:v>Analyst review minutes</x:v>
      </x:c>
      <x:c r="B62" s="52" t="str">
        <x:v>N/A</x:v>
      </x:c>
      <x:c r="C62" s="52" t="str">
        <x:v>One total active time requested; access delays excluded</x:v>
      </x:c>
      <x:c r="D62" s="52"/>
      <x:c r="E62" s="52"/>
      <x:c r="F62" s="52"/>
      <x:c r="G62" s="52"/>
      <x:c r="H62" s="52"/>
    </x:row>
    <x:row r="63" ht="50" customHeight="1">
      <x:c r="A63" s="52" t="str">
        <x:v>Recall@50 guardrail</x:v>
      </x:c>
      <x:c r="B63" s="52" t="str">
        <x:v>Pass (frozen metrics)</x:v>
      </x:c>
      <x:c r="C63" s="52" t="str">
        <x:v>V1 2/10 &gt;= V0 2/10; no new run</x:v>
      </x:c>
      <x:c r="D63" s="52"/>
      <x:c r="E63" s="52"/>
      <x:c r="F63" s="52"/>
      <x:c r="G63" s="52"/>
      <x:c r="H63" s="52"/>
    </x:row>
    <x:row r="64" ht="50" customHeight="1">
      <x:c r="A64" s="52" t="str">
        <x:v>Recall@100 guardrail</x:v>
      </x:c>
      <x:c r="B64" s="52" t="str">
        <x:v>Pass (frozen metrics)</x:v>
      </x:c>
      <x:c r="C64" s="52" t="str">
        <x:v>V1 4/10 &gt; V0 2/10; no new run</x:v>
      </x:c>
      <x:c r="D64" s="52"/>
      <x:c r="E64" s="52"/>
      <x:c r="F64" s="52"/>
      <x:c r="G64" s="52"/>
      <x:c r="H64" s="52"/>
    </x:row>
    <x:row r="65" ht="50" customHeight="1">
      <x:c r="A65" s="52" t="str">
        <x:v>Final EXP-014 decision</x:v>
      </x:c>
      <x:c r="B65" s="52" t="str">
        <x:v>N/A</x:v>
      </x:c>
      <x:c r="C65" s="52" t="str">
        <x:v>No PROMOTE / REJECT / HOLD outcome calculated</x:v>
      </x:c>
      <x:c r="D65" s="52"/>
      <x:c r="E65" s="52"/>
      <x:c r="F65" s="52"/>
      <x:c r="G65" s="52"/>
      <x:c r="H65" s="52"/>
    </x:row>
    <x:row r="66" ht="50" customHeight="1">
      <x:c r="A66" s="52" t="str">
        <x:v>Pre-registered PROMOTE</x:v>
      </x:c>
      <x:c r="B66" s="52" t="str">
        <x:v>V1 at least 2 groups better</x:v>
      </x:c>
      <x:c r="C66" s="52" t="str">
        <x:v>Requires both recall guardrails to pass</x:v>
      </x:c>
      <x:c r="D66" s="52"/>
      <x:c r="E66" s="52"/>
      <x:c r="F66" s="52"/>
      <x:c r="G66" s="52"/>
      <x:c r="H66" s="52"/>
    </x:row>
    <x:row r="67" ht="50" customHeight="1">
      <x:c r="A67" s="52" t="str">
        <x:v>Pre-registered REJECT</x:v>
      </x:c>
      <x:c r="B67" s="52" t="str">
        <x:v>V1 fewer groups OR guardrail failure</x:v>
      </x:c>
      <x:c r="C67" s="52" t="str">
        <x:v>Guardrail failure takes precedence over group-count HOLD condition</x:v>
      </x:c>
      <x:c r="D67" s="52"/>
      <x:c r="E67" s="52"/>
      <x:c r="F67" s="52"/>
      <x:c r="G67" s="52"/>
      <x:c r="H67" s="52"/>
    </x:row>
    <x:row r="68" ht="50" customHeight="1">
      <x:c r="A68" s="52" t="str">
        <x:v>Pre-registered HOLD</x:v>
      </x:c>
      <x:c r="B68" s="52" t="str">
        <x:v>Equal or 1 group better</x:v>
      </x:c>
      <x:c r="C68" s="52" t="str">
        <x:v>With both recall guardrails passing</x:v>
      </x:c>
      <x:c r="D68" s="52"/>
      <x:c r="E68" s="52"/>
      <x:c r="F68" s="52"/>
      <x:c r="G68" s="52"/>
      <x:c r="H68" s="52"/>
    </x:row>
    <x:row r="69" ht="50" customHeight="1">
      <x:c r="A69" s="52" t="str">
        <x:v>Final V0 report-group denominator</x:v>
      </x:c>
      <x:c r="B69" s="52" t="str">
        <x:v>N/A</x:v>
      </x:c>
      <x:c r="C69" s="52" t="str">
        <x:v>Two groups currently identifiable; do not assume all other records are separate families</x:v>
      </x:c>
      <x:c r="D69" s="52"/>
      <x:c r="E69" s="52"/>
      <x:c r="F69" s="52"/>
      <x:c r="G69" s="52"/>
      <x:c r="H69" s="52"/>
    </x:row>
  </x:sheetData>
  <x:mergeCells>
    <x:mergeCell ref="A1:H2"/>
    <x:mergeCell ref="A12:H12"/>
    <x:mergeCell ref="A13:H17"/>
    <x:mergeCell ref="A19:H19"/>
    <x:mergeCell ref="C25:H25"/>
    <x:mergeCell ref="C26:H26"/>
    <x:mergeCell ref="C27:H27"/>
    <x:mergeCell ref="C28:H28"/>
    <x:mergeCell ref="C29:H29"/>
    <x:mergeCell ref="C30:H30"/>
    <x:mergeCell ref="C31:H31"/>
    <x:mergeCell ref="C32:H32"/>
    <x:mergeCell ref="C33:H33"/>
    <x:mergeCell ref="C34:H34"/>
    <x:mergeCell ref="C35:H35"/>
    <x:mergeCell ref="C36:H36"/>
    <x:mergeCell ref="C37:H37"/>
    <x:mergeCell ref="C38:H38"/>
    <x:mergeCell ref="C39:H39"/>
    <x:mergeCell ref="C40:H40"/>
    <x:mergeCell ref="C41:H41"/>
    <x:mergeCell ref="C42:H42"/>
    <x:mergeCell ref="C43:H43"/>
    <x:mergeCell ref="C44:H44"/>
    <x:mergeCell ref="C45:H45"/>
    <x:mergeCell ref="A48:H48"/>
    <x:mergeCell ref="C49:H49"/>
    <x:mergeCell ref="C50:H50"/>
    <x:mergeCell ref="C51:H51"/>
    <x:mergeCell ref="C52:H52"/>
    <x:mergeCell ref="C53:H53"/>
    <x:mergeCell ref="C54:H54"/>
    <x:mergeCell ref="C55:H55"/>
    <x:mergeCell ref="C56:H56"/>
    <x:mergeCell ref="C57:H57"/>
    <x:mergeCell ref="C58:H58"/>
    <x:mergeCell ref="C59:H59"/>
    <x:mergeCell ref="C60:H60"/>
    <x:mergeCell ref="C61:H61"/>
    <x:mergeCell ref="C62:H62"/>
    <x:mergeCell ref="C63:H63"/>
    <x:mergeCell ref="C64:H64"/>
    <x:mergeCell ref="C65:H65"/>
    <x:mergeCell ref="C66:H66"/>
    <x:mergeCell ref="C67:H67"/>
    <x:mergeCell ref="C68:H68"/>
    <x:mergeCell ref="C69:H6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 ht="300" customHeight="1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51" t="n">
        <x:v>0.45</x:v>
      </x:c>
      <x:c r="O16" s="24"/>
      <x:c r="P16" s="43" t="n">
        <x:v>90.5</x:v>
      </x:c>
      <x:c r="Q16" s="44" t="str">
        <x:v>N/A</x:v>
      </x:c>
      <x:c r="R16" s="32"/>
      <x:c r="S16" s="24" t="str">
        <x:v>V0 top 20 not equivalently adjudicated; three analyst report-family pairs have different Questel FAN IDs; theft-triggered locking schema review pending</x:v>
      </x:c>
      <x:c r="T16" s="24" t="str">
        <x:v>Recall@100 2/10→4/10; median retrieved-GOLD rank 492→90.5</x:v>
      </x:c>
      <x:c r="U16" s="24" t="str">
        <x:v>HOLD</x:v>
      </x:c>
      <x:c r="V16" s="24" t="str">
        <x: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x:v>
      </x:c>
    </x:row>
    <x:row r="17" ht="300" customHeight="1">
      <x:c r="A17" s="24" t="str">
        <x:v>EXP-014</x:v>
      </x:c>
      <x:c r="B17" s="30" t="n">
        <x:v>46281</x:v>
      </x:c>
      <x:c r="C17" s="24" t="str">
        <x:v>BC001</x:v>
      </x:c>
      <x:c r="D17" s="24" t="str">
        <x:v>0.1-provisional</x:v>
      </x:c>
      <x:c r="E17" s="24" t="str">
        <x:v>RUN-012 Orbit ordering of the 3,238-family export</x:v>
      </x:c>
      <x:c r="F17" s="24" t="str">
        <x:v>rs_v0.2_blind_ta_rerank</x:v>
      </x:c>
      <x:c r="G17" s="24" t="str">
        <x:v>V1 finds at least two more analyst-includable unique report-family groups in the first 20 publication slots than V0 while passing both recall guardrails</x:v>
      </x:c>
      <x:c r="H17" s="24" t="str">
        <x:v>Relevance Scorer</x:v>
      </x:c>
      <x:c r="I17" s="24" t="str">
        <x:v>RUN-012 Orbit ordering</x:v>
      </x:c>
      <x:c r="J17" s="24" t="str">
        <x:v>rs_v0.2_blind_ta_rerank (frozen EXP-013)</x:v>
      </x:c>
      <x:c r="K17" s="24" t="str">
        <x:v>ordering method; ranking evaluation; no model or system change</x:v>
      </x:c>
      <x:c r="L17" s="31" t="str">
        <x:v>N/A</x:v>
      </x:c>
      <x:c r="M17" s="31" t="str">
        <x:v>N/A</x:v>
      </x:c>
      <x:c r="N17" s="31" t="str">
        <x:v>N/A</x:v>
      </x:c>
      <x:c r="O17" s="24" t="str">
        <x:v>N/A</x:v>
      </x:c>
      <x:c r="P17" s="43" t="str">
        <x:v>N/A</x:v>
      </x:c>
      <x:c r="Q17" s="44" t="str">
        <x:v>N/A</x:v>
      </x:c>
      <x:c r="R17" s="32" t="str">
        <x:v>N/A</x:v>
      </x:c>
      <x:c r="S17" s="24" t="str">
        <x:v>V1 Recall@50 &gt;= V0 Recall@50; V1 Recall@100 &gt; V0 Recall@100. All rankings, universe, ground truth and family policy fixed.</x:v>
      </x:c>
      <x:c r="T17" s="24" t="str">
        <x:v>N/A pending adjudication</x:v>
      </x:c>
      <x:c r="U17" s="24" t="str">
        <x:v>AWAITING_ADJUDICATION</x:v>
      </x:c>
      <x:c r="V17" s="24" t="str">
        <x:v>PROMOTE if V1 has &gt;=2 more includable unique report-family groups and both recall guardrails pass; REJECT if V1 has fewer or violates either guardrail; HOLD if equal or one better (guardrails pass). 2 resolved, 18 unresolved; overlap 1; final metrics and review minutes N/A. No decision calculated.</x:v>
      </x:c>
    </x:row>
    <x:row r="18">
      <x:c r="A18" s="24"/>
      <x:c r="B18" s="30"/>
      <x:c r="C18" s="24"/>
      <x:c r="D18" s="24"/>
      <x:c r="E18" s="24"/>
      <x:c r="F18" s="24"/>
      <x:c r="G18" s="24"/>
      <x:c r="H18" s="24"/>
      <x:c r="I18" s="24"/>
      <x:c r="J18" s="24"/>
      <x:c r="K18" s="24"/>
      <x:c r="L18" s="31"/>
      <x:c r="M18" s="31"/>
      <x:c r="N18" s="31"/>
      <x:c r="O18" s="24"/>
      <x:c r="P18" s="43"/>
      <x:c r="Q18" s="44"/>
      <x:c r="R18" s="32"/>
      <x:c r="S18" s="24"/>
      <x:c r="T18" s="24"/>
      <x:c r="U18" s="24"/>
      <x:c r="V18" s="24"/>
    </x:row>
    <x:row r="19">
      <x:c r="A19" s="24"/>
      <x:c r="B19" s="30"/>
      <x:c r="C19" s="24"/>
      <x:c r="D19" s="24"/>
      <x:c r="E19" s="24"/>
      <x:c r="F19" s="24"/>
      <x:c r="G19" s="24"/>
      <x:c r="H19" s="24"/>
      <x:c r="I19" s="24"/>
      <x:c r="J19" s="24"/>
      <x:c r="K19" s="24"/>
      <x:c r="L19" s="31"/>
      <x:c r="M19" s="31"/>
      <x:c r="N19" s="31"/>
      <x:c r="O19" s="24"/>
      <x:c r="P19" s="43"/>
      <x:c r="Q19" s="44"/>
      <x:c r="R19" s="32"/>
      <x:c r="S19" s="24"/>
      <x:c r="T19" s="24"/>
      <x:c r="U19" s="24"/>
      <x:c r="V19" s="24"/>
    </x:row>
    <x:row r="20">
      <x:c r="A20" s="24"/>
      <x:c r="B20" s="30"/>
      <x:c r="C20" s="24"/>
      <x:c r="D20" s="24"/>
      <x:c r="E20" s="24"/>
      <x:c r="F20" s="24"/>
      <x:c r="G20" s="24"/>
      <x:c r="H20" s="24"/>
      <x:c r="I20" s="24"/>
      <x:c r="J20" s="24"/>
      <x:c r="K20" s="24"/>
      <x:c r="L20" s="31"/>
      <x:c r="M20" s="31"/>
      <x:c r="N20" s="31"/>
      <x:c r="O20" s="24"/>
      <x:c r="P20" s="43"/>
      <x:c r="Q20" s="44"/>
      <x:c r="R20" s="32"/>
      <x:c r="S20" s="24"/>
      <x:c r="T20" s="24"/>
      <x:c r="U20" s="24"/>
      <x:c r="V20" s="24"/>
    </x:row>
    <x:row r="21">
      <x:c r="A21" s="24"/>
      <x:c r="B21" s="30"/>
      <x:c r="C21" s="24"/>
      <x:c r="D21" s="24"/>
      <x:c r="E21" s="24"/>
      <x:c r="F21" s="24"/>
      <x:c r="G21" s="24"/>
      <x:c r="H21" s="24"/>
      <x:c r="I21" s="24"/>
      <x:c r="J21" s="24"/>
      <x:c r="K21" s="24"/>
      <x:c r="L21" s="31"/>
      <x:c r="M21" s="31"/>
      <x:c r="N21" s="31"/>
      <x:c r="O21" s="24"/>
      <x:c r="P21" s="43"/>
      <x:c r="Q21" s="44"/>
      <x:c r="R21" s="32"/>
      <x:c r="S21" s="24"/>
      <x:c r="T21" s="24"/>
      <x:c r="U21" s="24"/>
      <x:c r="V21" s="24"/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"BASELINE,DIAGNOSTIC,PARTIALLY_VALIDATED,HOLD,PROMOTE,REJECT,SUPERSEDED,INCONCLUSIVE,AWAITING_ADJUDICATION"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254b7d60c7418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7204510f3032472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>
      <x:c r="A9" s="24"/>
      <x:c r="B9" s="24"/>
      <x:c r="C9" s="24"/>
      <x:c r="D9" s="24"/>
      <x:c r="E9" s="24"/>
      <x:c r="F9" s="24"/>
      <x:c r="G9" s="24"/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2d4f23c1aeec4b5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cf75faaeeffe4e12"/>
  </x:tableParts>
</x:worksheet>
</file>