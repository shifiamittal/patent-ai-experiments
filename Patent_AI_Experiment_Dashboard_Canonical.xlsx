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61cb1b0c9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360d3d03b3f4da4"/>
    <x:sheet xmlns:r="http://schemas.openxmlformats.org/officeDocument/2006/relationships" name="Experiment Log" sheetId="2" r:id="R863412b69bd046d4"/>
    <x:sheet xmlns:r="http://schemas.openxmlformats.org/officeDocument/2006/relationships" name="Benchmark Inputs" sheetId="3" r:id="R55933a9a84144a57"/>
    <x:sheet xmlns:r="http://schemas.openxmlformats.org/officeDocument/2006/relationships" name="Component Versions" sheetId="4" r:id="R608d0ec7ce274400"/>
    <x:sheet xmlns:r="http://schemas.openxmlformats.org/officeDocument/2006/relationships" name="Metric Definitions" sheetId="5" r:id="Re93b83cbb01c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yyyy-mm-dd"/>
    <x:numFmt numFmtId="202" formatCode="$0.00"/>
    <x:numFmt numFmtId="203" formatCode="0.0"/>
    <x:numFmt numFmtId="204" formatCode="0"/>
    <x:numFmt numFmtId="205" formatCode="0.0%"/>
    <x:numFmt numFmtId="206" formatCode="General"/>
    <x:numFmt numFmtId="207" formatCode="0&quot; pp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4472C4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5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  <x:dxfs count="6"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a337efce54124" /><Relationship Type="http://schemas.openxmlformats.org/officeDocument/2006/relationships/theme" Target="/xl/theme/theme1.xml" Id="R35941826600b41fa" /><Relationship Type="http://schemas.openxmlformats.org/officeDocument/2006/relationships/sharedStrings" Target="/xl/sharedStrings.xml" Id="Ra1ac28ebe16c4780" /><Relationship Type="http://schemas.openxmlformats.org/officeDocument/2006/relationships/worksheet" Target="/xl/worksheets/sheet1.xml" Id="R5360d3d03b3f4da4" /><Relationship Type="http://schemas.openxmlformats.org/officeDocument/2006/relationships/worksheet" Target="/xl/worksheets/sheet2.xml" Id="R863412b69bd046d4" /><Relationship Type="http://schemas.openxmlformats.org/officeDocument/2006/relationships/worksheet" Target="/xl/worksheets/sheet3.xml" Id="R55933a9a84144a57" /><Relationship Type="http://schemas.openxmlformats.org/officeDocument/2006/relationships/worksheet" Target="/xl/worksheets/sheet4.xml" Id="R608d0ec7ce274400" /><Relationship Type="http://schemas.openxmlformats.org/officeDocument/2006/relationships/worksheet" Target="/xl/worksheets/sheet5.xml" Id="Re93b83cbb01c418e" /></Relationships>
</file>

<file path=xl/tables/table1.xml><?xml version="1.0" encoding="utf-8"?>
<x:table xmlns:x="http://schemas.openxmlformats.org/spreadsheetml/2006/main" id="1" name="ExperimentLogCanonical" displayName="ExperimentLogCanonical" ref="A1:V16" headerRowCount="1" totalsRowCount="0" totalsRowShown="0">
  <x:tableColumns count="22">
    <x:tableColumn id="1" name="Experiment ID"/>
    <x:tableColumn id="2" name="Date"/>
    <x:tableColumn id="3" name="Benchmark ID"/>
    <x:tableColumn id="4" name="Benchmark Version"/>
    <x:tableColumn id="5" name="Base System"/>
    <x:tableColumn id="6" name="Challenger System"/>
    <x:tableColumn id="7" name="Hypothesis / Objective"/>
    <x:tableColumn id="8" name="Primary Component Changed"/>
    <x:tableColumn id="9" name="From Version"/>
    <x:tableColumn id="10" name="To Version"/>
    <x:tableColumn id="11" name="What Changed"/>
    <x:tableColumn id="12" name="Recall@50"/>
    <x:tableColumn id="13" name="Recall@100"/>
    <x:tableColumn id="14" name="Precision@20"/>
    <x:tableColumn id="15" name="Gold in Top 10"/>
    <x:tableColumn id="16" name="Median Rank of Retrieved GOLD"/>
    <x:tableColumn id="17" name="Analyst Minutes"/>
    <x:tableColumn id="18" name="Model Cost USD"/>
    <x:tableColumn id="19" name="Guardrail / Side Effect"/>
    <x:tableColumn id="20" name="Learning"/>
    <x:tableColumn id="21" name="Decision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chmarkInputsCanonical" displayName="BenchmarkInputsCanonical" ref="A1:G19" headerRowCount="1" totalsRowCount="0" totalsRowShown="0">
  <x:tableColumns count="7">
    <x:tableColumn id="1" name="Category"/>
    <x:tableColumn id="2" name="Input / Artifact"/>
    <x:tableColumn id="3" name="Version / Set"/>
    <x:tableColumn id="4" name="Status"/>
    <x:tableColumn id="5" name="Value / Count"/>
    <x:tableColumn id="6" name="Frozen?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onentVersionsCanonical" displayName="ComponentVersionsCanonical" ref="A1:G8" headerRowCount="1" totalsRowCount="0" totalsRowShown="0">
  <x:tableColumns count="7">
    <x:tableColumn id="1" name="Component"/>
    <x:tableColumn id="2" name="Current Proposed Version"/>
    <x:tableColumn id="3" name="Validation Status"/>
    <x:tableColumn id="4" name="Purpose"/>
    <x:tableColumn id="5" name="Source Experiment"/>
    <x:tableColumn id="6" name="Champion?"/>
    <x:tableColumn id="7" name="Known Limit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DefinitionsCanonical" displayName="MetricDefinitionsCanonical" ref="A1:E8" headerRowCount="1" totalsRowCount="0" totalsRowShown="0">
  <x:tableColumns count="5">
    <x:tableColumn id="1" name="Metric"/>
    <x:tableColumn id="2" name="Definition"/>
    <x:tableColumn id="3" name="Why it matters"/>
    <x:tableColumn id="4" name="Valid when"/>
    <x:tableColumn id="5" name="Canonical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e923d14b0a45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5ca7f7fd1c48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1516e309cf45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fffed3cafd411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" hidden="0" customWidth="1"/>
    <x:col min="4" max="4" width="24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Patent AI Experiment Dashboard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Current State</x:v>
      </x:c>
      <x:c r="B4" s="12" t="str">
        <x:v>Value</x:v>
      </x:c>
      <x:c r="D4" s="12" t="str">
        <x:v>KPI</x:v>
      </x:c>
      <x:c r="E4" s="12" t="str">
        <x:v>Value</x:v>
      </x:c>
    </x:row>
    <x:row r="5">
      <x:c r="A5" t="str">
        <x:v>Current Benchmark</x:v>
      </x:c>
      <x:c r="B5" t="str">
        <x:v>BC001-v0.1-provisional</x:v>
      </x:c>
      <x:c r="D5" t="str">
        <x:v>Experiments logged</x:v>
      </x:c>
      <x:c r="E5" t="n">
        <x:f>COUNTA('Experiment Log'!A2:A200)</x:f>
        <x:v>18</x:v>
      </x:c>
    </x:row>
    <x:row r="6">
      <x:c r="A6" t="str">
        <x:v>Current System</x:v>
      </x:c>
      <x:c r="B6" t="str">
        <x:v>Retrieval baseline + candidate reranker + validated evidence assist</x:v>
      </x:c>
      <x:c r="D6" t="str">
        <x:v>Promoted experiments</x:v>
      </x:c>
      <x:c r="E6" t="n">
        <x:f>COUNTIF('Experiment Log'!U2:U200,"PROMOTE")</x:f>
        <x:v>0</x:v>
      </x:c>
    </x:row>
    <x:row r="7">
      <x:c r="A7" t="str">
        <x:v>Current Champion</x:v>
      </x:c>
      <x:c r="B7" t="str">
        <x:v>None yet — reranker not promoted</x:v>
      </x:c>
      <x:c r="D7" t="str">
        <x:v>Best Recall@50</x:v>
      </x:c>
      <x:c r="E7" s="18" t="n">
        <x:f>MAX('Experiment Log'!L2:L200)</x:f>
        <x:v>0.2</x:v>
      </x:c>
    </x:row>
    <x:row r="8">
      <x:c r="A8" t="str">
        <x:v>Current Experiment</x:v>
      </x:c>
      <x:c r="B8" t="str">
        <x:v>EXP-016A</x:v>
      </x:c>
      <x:c r="D8" t="str">
        <x:v>Best Recall@100</x:v>
      </x:c>
      <x:c r="E8" s="18" t="n">
        <x:f>MAX('Experiment Log'!M2:M200)</x:f>
        <x:v>0.4</x:v>
      </x:c>
    </x:row>
    <x:row r="9">
      <x:c r="A9" t="str">
        <x:v>Benchmark Domain</x:v>
      </x:c>
      <x:c r="B9" t="str">
        <x:v>Traceable biometric smart firearm</x:v>
      </x:c>
      <x:c r="D9" t="str">
        <x:v>Best Precision@20</x:v>
      </x:c>
      <x:c r="E9" s="18" t="n">
        <x:f>IF(COUNT('Experiment Log'!N2:N200)=0,"N/A",MAX('Experiment Log'!N2:N200))</x:f>
        <x:v>0.45</x:v>
      </x:c>
    </x:row>
    <x:row r="10">
      <x:c r="D10" t="str">
        <x:v>Best median GOLD rank</x:v>
      </x:c>
      <x:c r="E10" s="45" t="n">
        <x:f>MIN('Experiment Log'!P2:P200)</x:f>
        <x:v>90.5</x:v>
      </x:c>
    </x:row>
    <x:row r="12">
      <x:c r="A12" s="21" t="str">
        <x:v>Workflow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Add each run to Experiment Log → change one primary component → compare Challenger vs Champion on the same benchmark → record learning → PROMOTE / REJECT / HOLD. Never overwrite prior experiment rows or benchmark versions.</x:v>
      </x:c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9">
      <x:c r="A19" s="37" t="str">
        <x:v>Current Canonical Snapshot</x:v>
      </x:c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8" t="str">
        <x:v>Experiment</x:v>
      </x:c>
      <x:c r="B20" s="38" t="str">
        <x:v>Description</x:v>
      </x:c>
      <x:c r="C20" s="38" t="str">
        <x:v>Results</x:v>
      </x:c>
      <x:c r="D20" s="38" t="str">
        <x:v>Recall@50</x:v>
      </x:c>
      <x:c r="E20" s="38" t="str">
        <x:v>Recall@100</x:v>
      </x:c>
      <x:c r="F20" s="38" t="str">
        <x:v>Precision@20</x:v>
      </x:c>
      <x:c r="G20" s="38" t="str">
        <x:v>Median GOLD rank</x:v>
      </x:c>
      <x:c r="H20" s="38" t="str">
        <x:v>Status</x:v>
      </x:c>
    </x:row>
    <x:row r="21">
      <x:c r="A21" t="str">
        <x:v>RUN-012</x:v>
      </x:c>
      <x:c r="B21" t="str">
        <x:v>3,238-family FAMPAT rerun/export</x:v>
      </x:c>
      <x:c r="C21" t="str">
        <x:v>6/10 GOLD recovered; V0 Orbit order</x:v>
      </x:c>
      <x:c r="D21" t="str">
        <x:v>20%</x:v>
      </x:c>
      <x:c r="E21" t="str">
        <x:v>20%</x:v>
      </x:c>
      <x:c r="F21" t="str"/>
      <x:c r="G21" t="str">
        <x:v>492</x:v>
      </x:c>
      <x:c r="H21" t="str">
        <x:v>BASELINE</x:v>
      </x:c>
    </x:row>
    <x:row r="22" ht="70" customHeight="1">
      <x:c r="A22" s="24" t="str">
        <x:v>EXP-013</x:v>
      </x:c>
      <x:c r="B22" s="24" t="str">
        <x:v>Blind title/abstract reranking</x:v>
      </x:c>
      <x:c r="C22" s="24" t="str">
        <x:v>Done</x:v>
      </x:c>
      <x:c r="D22" s="24" t="str">
        <x:v>20%</x:v>
      </x:c>
      <x:c r="E22" s="24" t="str">
        <x:v>40%</x:v>
      </x:c>
      <x:c r="F22" s="31" t="n">
        <x:v>0.45</x:v>
      </x:c>
      <x:c r="G22" s="24" t="str">
        <x:v>90.5</x:v>
      </x:c>
      <x:c r="H22" s="24" t="str">
        <x:v>HOLD / INCONCLUSIVE</x:v>
      </x:c>
    </x:row>
    <x:row r="23">
      <x:c r="A23" t="str">
        <x:v>EXP-011</x:v>
      </x:c>
      <x:c r="B23" t="str">
        <x:v>Evidence-assisted full-text review</x:v>
      </x:c>
      <x:c r="C23" t="str">
        <x:v>5-patent sample: ~30 min → 10–15 min</x:v>
      </x:c>
      <x:c r="D23" t="str"/>
      <x:c r="E23" t="str"/>
      <x:c r="F23" t="str"/>
      <x:c r="G23" t="str"/>
      <x:c r="H23" t="str">
        <x:v>PARTIALLY_VALIDATED</x:v>
      </x:c>
    </x:row>
    <x:row r="25" ht="40" customHeight="1">
      <x:c r="A25" s="49" t="str">
        <x:v>EXP-013 completed adjudication</x:v>
      </x:c>
      <x:c r="B25" s="49" t="str">
        <x:v>Value</x:v>
      </x:c>
      <x:c r="C25" s="49" t="str">
        <x:v>Scope / limitation</x:v>
      </x:c>
      <x:c r="D25" s="49"/>
      <x:c r="E25" s="49"/>
      <x:c r="F25" s="49"/>
      <x:c r="G25" s="49"/>
      <x:c r="H25" s="49"/>
    </x:row>
    <x:row r="26" ht="42" customHeight="1">
      <x:c r="A26" s="52" t="str">
        <x:v>Newly adjudicated publications</x:v>
      </x:c>
      <x:c r="B26" s="55" t="n">
        <x:v>18</x:v>
      </x:c>
      <x:c r="C26" s="52" t="str">
        <x:v>Completed analyst decisions; two existing GOLD records are separate</x:v>
      </x:c>
      <x:c r="D26" s="52"/>
      <x:c r="E26" s="52"/>
      <x:c r="F26" s="52"/>
      <x:c r="G26" s="52"/>
      <x:c r="H26" s="52"/>
    </x:row>
    <x:row r="27" ht="42" customHeight="1">
      <x:c r="A27" s="52" t="str">
        <x:v>Include Yes</x:v>
      </x:c>
      <x:c r="B27" s="55" t="n">
        <x:v>7</x:v>
      </x:c>
      <x:c r="C27" s="52" t="str">
        <x:v>Newly adjudicated publications</x:v>
      </x:c>
      <x:c r="D27" s="52"/>
      <x:c r="E27" s="52"/>
      <x:c r="F27" s="52"/>
      <x:c r="G27" s="52"/>
      <x:c r="H27" s="52"/>
    </x:row>
    <x:row r="28" ht="42" customHeight="1">
      <x:c r="A28" s="52" t="str">
        <x:v>Include No</x:v>
      </x:c>
      <x:c r="B28" s="55" t="n">
        <x:v>11</x:v>
      </x:c>
      <x:c r="C28" s="52" t="str">
        <x:v>Newly adjudicated publications</x:v>
      </x:c>
      <x:c r="D28" s="52"/>
      <x:c r="E28" s="52"/>
      <x:c r="F28" s="52"/>
      <x:c r="G28" s="52"/>
      <x:c r="H28" s="52"/>
    </x:row>
    <x:row r="29" ht="42" customHeight="1">
      <x:c r="A29" s="52" t="str">
        <x:v>Publication inclusion yield</x:v>
      </x:c>
      <x:c r="B29" s="53" t="n">
        <x:f>B27/B26</x:f>
        <x:v>0.3888888888888889</x:v>
      </x:c>
      <x:c r="C29" s="52" t="str">
        <x:v>7/18 among newly adjudicated publications</x:v>
      </x:c>
      <x:c r="D29" s="52"/>
      <x:c r="E29" s="52"/>
      <x:c r="F29" s="52"/>
      <x:c r="G29" s="52"/>
      <x:c r="H29" s="52"/>
    </x:row>
    <x:row r="30" ht="42" customHeight="1">
      <x:c r="A30" s="52" t="str">
        <x:v>New analyst report groups</x:v>
      </x:c>
      <x:c r="B30" s="55" t="n">
        <x:v>15</x:v>
      </x:c>
      <x:c r="C30" s="52" t="str">
        <x:v>Three pairs grouped for client-report purposes; Questel IDs retained</x:v>
      </x:c>
      <x:c r="D30" s="52"/>
      <x:c r="E30" s="52"/>
      <x:c r="F30" s="52"/>
      <x:c r="G30" s="52"/>
      <x:c r="H30" s="52"/>
    </x:row>
    <x:row r="31" ht="42" customHeight="1">
      <x:c r="A31" s="52" t="str">
        <x:v>Includable new candidate groups</x:v>
      </x:c>
      <x:c r="B31" s="55" t="n">
        <x:v>5</x:v>
      </x:c>
      <x:c r="C31" s="52" t="str">
        <x:v>Candidate groups; not established net-new relevant families</x:v>
      </x:c>
      <x:c r="D31" s="52"/>
      <x:c r="E31" s="52"/>
      <x:c r="F31" s="52"/>
      <x:c r="G31" s="52"/>
      <x:c r="H31" s="52"/>
    </x:row>
    <x:row r="32" ht="42" customHeight="1">
      <x:c r="A32" s="52" t="str">
        <x:v>Excluded new candidate groups</x:v>
      </x:c>
      <x:c r="B32" s="55" t="n">
        <x:v>10</x:v>
      </x:c>
      <x:c r="C32" s="52" t="str">
        <x:v>Analyst report-family grouping</x:v>
      </x:c>
      <x:c r="D32" s="52"/>
      <x:c r="E32" s="52"/>
      <x:c r="F32" s="52"/>
      <x:c r="G32" s="52"/>
      <x:c r="H32" s="52"/>
    </x:row>
    <x:row r="33" ht="42" customHeight="1">
      <x:c r="A33" s="52" t="str">
        <x:v>New-candidate family yield</x:v>
      </x:c>
      <x:c r="B33" s="53" t="n">
        <x:f>B31/B30</x:f>
        <x:v>0.3333333333333333</x:v>
      </x:c>
      <x:c r="C33" s="52" t="str">
        <x:v>5/15 analyst-defined groups</x:v>
      </x:c>
      <x:c r="D33" s="52"/>
      <x:c r="E33" s="52"/>
      <x:c r="F33" s="52"/>
      <x:c r="G33" s="52"/>
      <x:c r="H33" s="52"/>
    </x:row>
    <x:row r="34" ht="42" customHeight="1">
      <x:c r="A34" s="52" t="str">
        <x:v>Top-20 publications evaluated</x:v>
      </x:c>
      <x:c r="B34" s="55" t="n">
        <x:v>20</x:v>
      </x:c>
      <x:c r="C34" s="52" t="str">
        <x:v>18 completed decisions plus two existing GOLD positives</x:v>
      </x:c>
      <x:c r="D34" s="52"/>
      <x:c r="E34" s="52"/>
      <x:c r="F34" s="52"/>
      <x:c r="G34" s="52"/>
      <x:c r="H34" s="52"/>
    </x:row>
    <x:row r="35" ht="42" customHeight="1">
      <x:c r="A35" s="52" t="str">
        <x:v>Top-20 positive publications</x:v>
      </x:c>
      <x:c r="B35" s="55" t="n">
        <x:v>9</x:v>
      </x:c>
      <x:c r="C35" s="52" t="str">
        <x:v>Includes the two existing GOLD records</x:v>
      </x:c>
      <x:c r="D35" s="52"/>
      <x:c r="E35" s="52"/>
      <x:c r="F35" s="52"/>
      <x:c r="G35" s="52"/>
      <x:c r="H35" s="52"/>
    </x:row>
    <x:row r="36" ht="42" customHeight="1">
      <x:c r="A36" s="52" t="str">
        <x:v>Publication Precision@20</x:v>
      </x:c>
      <x:c r="B36" s="54" t="n">
        <x:f>B35/B34</x:f>
        <x:v>0.45</x:v>
      </x:c>
      <x:c r="C36" s="52" t="str">
        <x:v>9/20 original ranked records; not Questel-family precision</x:v>
      </x:c>
      <x:c r="D36" s="52"/>
      <x:c r="E36" s="52"/>
      <x:c r="F36" s="52"/>
      <x:c r="G36" s="52"/>
      <x:c r="H36" s="52"/>
    </x:row>
    <x:row r="37" ht="42" customHeight="1">
      <x:c r="A37" s="52" t="str">
        <x:v>Top-20 analyst report groups</x:v>
      </x:c>
      <x:c r="B37" s="55" t="n">
        <x:v>17</x:v>
      </x:c>
      <x:c r="C37" s="52" t="str">
        <x:v>No source rows or Questel identifiers merged</x:v>
      </x:c>
      <x:c r="D37" s="52"/>
      <x:c r="E37" s="52"/>
      <x:c r="F37" s="52"/>
      <x:c r="G37" s="52"/>
      <x:c r="H37" s="52"/>
    </x:row>
    <x:row r="38" ht="42" customHeight="1">
      <x:c r="A38" s="52" t="str">
        <x:v>Includable top-20 groups</x:v>
      </x:c>
      <x:c r="B38" s="55" t="n">
        <x:v>7</x:v>
      </x:c>
      <x:c r="C38" s="52" t="str">
        <x:v>Analyst report-family grouping</x:v>
      </x:c>
      <x:c r="D38" s="52"/>
      <x:c r="E38" s="52"/>
      <x:c r="F38" s="52"/>
      <x:c r="G38" s="52"/>
      <x:c r="H38" s="52"/>
    </x:row>
    <x:row r="39" ht="42" customHeight="1">
      <x:c r="A39" s="52" t="str">
        <x:v>Excluded top-20 groups</x:v>
      </x:c>
      <x:c r="B39" s="55" t="n">
        <x:v>10</x:v>
      </x:c>
      <x:c r="C39" s="52" t="str">
        <x:v>Analyst report-family grouping</x:v>
      </x:c>
      <x:c r="D39" s="52"/>
      <x:c r="E39" s="52"/>
      <x:c r="F39" s="52"/>
      <x:c r="G39" s="52"/>
      <x:c r="H39" s="52"/>
    </x:row>
    <x:row r="40" ht="42" customHeight="1">
      <x:c r="A40" s="52" t="str">
        <x:v>Report-inclusion yield@20</x:v>
      </x:c>
      <x:c r="B40" s="53" t="n">
        <x:f>B38/B37</x:f>
        <x:v>0.4117647058823529</x:v>
      </x:c>
      <x:c r="C40" s="52" t="str">
        <x:v>7/17 family-deduplicated analyst report groups</x:v>
      </x:c>
      <x:c r="D40" s="52"/>
      <x:c r="E40" s="52"/>
      <x:c r="F40" s="52"/>
      <x:c r="G40" s="52"/>
      <x:c r="H40" s="52"/>
    </x:row>
    <x:row r="41" ht="42" customHeight="1">
      <x:c r="A41" s="52" t="str">
        <x:v>Net-new relevant-family yield</x:v>
      </x:c>
      <x:c r="B41" s="55" t="str">
        <x:v>N/A</x:v>
      </x:c>
      <x:c r="C41" s="52" t="str">
        <x:v>Complete historical-report comparison pending</x:v>
      </x:c>
      <x:c r="D41" s="52"/>
      <x:c r="E41" s="52"/>
      <x:c r="F41" s="52"/>
      <x:c r="G41" s="52"/>
      <x:c r="H41" s="52"/>
    </x:row>
    <x:row r="42" ht="42" customHeight="1">
      <x:c r="A42" s="52" t="str">
        <x:v>Analyst review minutes</x:v>
      </x:c>
      <x:c r="B42" s="55" t="str">
        <x:v>N/A</x:v>
      </x:c>
      <x:c r="C42" s="52" t="str">
        <x:v>Until supplied</x:v>
      </x:c>
      <x:c r="D42" s="52"/>
      <x:c r="E42" s="52"/>
      <x:c r="F42" s="52"/>
      <x:c r="G42" s="52"/>
      <x:c r="H42" s="52"/>
    </x:row>
    <x:row r="43" ht="42" customHeight="1">
      <x:c r="A43" s="52" t="str">
        <x:v>PA-001 status</x:v>
      </x:c>
      <x:c r="B43" s="55" t="str">
        <x:v>COMPLETED</x:v>
      </x:c>
      <x:c r="C43" s="52" t="str">
        <x:v>KZ6216U decision is abstract-only; not a claim of full-text availability</x:v>
      </x:c>
      <x:c r="D43" s="52"/>
      <x:c r="E43" s="52"/>
      <x:c r="F43" s="52"/>
      <x:c r="G43" s="52"/>
      <x:c r="H43" s="52"/>
    </x:row>
    <x:row r="44" ht="42" customHeight="1">
      <x:c r="A44" s="52" t="str">
        <x:v>Reconstructed mapping</x:v>
      </x:c>
      <x:c r="B44" s="55" t="str">
        <x:v>Ambiguity retained</x:v>
      </x:c>
      <x:c r="C44" s="52" t="str">
        <x:v>Ranks 6/7 remain unordered; same L/No decisions; no metric effect</x:v>
      </x:c>
      <x:c r="D44" s="52"/>
      <x:c r="E44" s="52"/>
      <x:c r="F44" s="52"/>
      <x:c r="G44" s="52"/>
      <x:c r="H44" s="52"/>
    </x:row>
    <x:row r="45" ht="42" customHeight="1">
      <x:c r="A45" s="52" t="str">
        <x:v>EXP-013 decision</x:v>
      </x:c>
      <x:c r="B45" s="55" t="str">
        <x:v>HOLD / INCONCLUSIVE</x:v>
      </x:c>
      <x:c r="C45" s="52" t="str">
        <x:v>V0 top 20 lacks equivalent adjudication; no promotion</x:v>
      </x:c>
      <x:c r="D45" s="52"/>
      <x:c r="E45" s="52"/>
      <x:c r="F45" s="52"/>
      <x:c r="G45" s="52"/>
      <x:c r="H45" s="52"/>
    </x:row>
    <x:row r="48" ht="32" customHeight="1">
      <x:c r="A48" s="59" t="str">
        <x:v>EXP-014 — Orbit versus frozen AI top-20 comparison</x:v>
      </x:c>
      <x:c r="B48" s="59"/>
      <x:c r="C48" s="59"/>
      <x:c r="D48" s="59"/>
      <x:c r="E48" s="59"/>
      <x:c r="F48" s="59"/>
      <x:c r="G48" s="59"/>
      <x:c r="H48" s="59"/>
    </x:row>
    <x:row r="49" ht="50" customHeight="1">
      <x:c r="A49" s="52" t="str">
        <x:v>Status</x:v>
      </x:c>
      <x:c r="B49" s="52" t="str">
        <x:v>AWAITING_ADJUDICATION</x:v>
      </x:c>
      <x:c r="C49" s="52" t="str">
        <x:v>Setup only; no final evaluation decision</x:v>
      </x:c>
      <x:c r="D49" s="52"/>
      <x:c r="E49" s="52"/>
      <x:c r="F49" s="52"/>
      <x:c r="G49" s="52"/>
      <x:c r="H49" s="52"/>
    </x:row>
    <x:row r="50" ht="50" customHeight="1">
      <x:c r="A50" s="52" t="str">
        <x:v>Baseline</x:v>
      </x:c>
      <x:c r="B50" s="52" t="str">
        <x:v>RUN-012 Orbit ordering</x:v>
      </x:c>
      <x:c r="C50" s="52" t="str">
        <x:v>Same frozen 3,238-family export</x:v>
      </x:c>
      <x:c r="D50" s="52"/>
      <x:c r="E50" s="52"/>
      <x:c r="F50" s="52"/>
      <x:c r="G50" s="52"/>
      <x:c r="H50" s="52"/>
    </x:row>
    <x:row r="51" ht="50" customHeight="1">
      <x:c r="A51" s="52" t="str">
        <x:v>Challenger</x:v>
      </x:c>
      <x:c r="B51" s="52" t="str">
        <x:v>rs_v0.2_blind_ta_rerank</x:v>
      </x:c>
      <x:c r="C51" s="52" t="str">
        <x:v>Frozen EXP-013 ranking</x:v>
      </x:c>
      <x:c r="D51" s="52"/>
      <x:c r="E51" s="52"/>
      <x:c r="F51" s="52"/>
      <x:c r="G51" s="52"/>
      <x:c r="H51" s="52"/>
    </x:row>
    <x:row r="52" ht="50" customHeight="1">
      <x:c r="A52" s="52" t="str">
        <x:v>Component evaluated</x:v>
      </x:c>
      <x:c r="B52" s="52" t="str">
        <x:v>Relevance Scorer</x:v>
      </x:c>
      <x:c r="C52" s="52" t="str">
        <x:v>Ranking evaluation; no model or system change</x:v>
      </x:c>
      <x:c r="D52" s="52"/>
      <x:c r="E52" s="52"/>
      <x:c r="F52" s="52"/>
      <x:c r="G52" s="52"/>
      <x:c r="H52" s="52"/>
    </x:row>
    <x:row r="53" ht="50" customHeight="1">
      <x:c r="A53" s="52" t="str">
        <x:v>Single primary change</x:v>
      </x:c>
      <x:c r="B53" s="52" t="str">
        <x:v>ordering method</x:v>
      </x:c>
      <x:c r="C53" s="52" t="str">
        <x:v>Disclosure, benchmark, universe, query/database, relevance standard, ground truth, rankings and family policy fixed</x:v>
      </x:c>
      <x:c r="D53" s="52"/>
      <x:c r="E53" s="52"/>
      <x:c r="F53" s="52"/>
      <x:c r="G53" s="52"/>
      <x:c r="H53" s="52"/>
    </x:row>
    <x:row r="54" ht="50" customHeight="1">
      <x:c r="A54" s="52" t="str">
        <x:v>Hypothesis</x:v>
      </x:c>
      <x:c r="B54" s="52" t="str">
        <x:v>At least 2 more includable groups</x:v>
      </x:c>
      <x:c r="C54" s="52" t="str">
        <x:v>V1 finds at least two more includable unique report-family groups in the first 20 publication slots and passes both recall guardrails</x:v>
      </x:c>
      <x:c r="D54" s="52"/>
      <x:c r="E54" s="52"/>
      <x:c r="F54" s="52"/>
      <x:c r="G54" s="52"/>
      <x:c r="H54" s="52"/>
    </x:row>
    <x:row r="55" ht="50" customHeight="1">
      <x:c r="A55" s="52" t="str">
        <x:v>Resolved publications</x:v>
      </x:c>
      <x:c r="B55" s="52" t="n">
        <x:v>2</x:v>
      </x:c>
      <x:c r="C55" s="52" t="str">
        <x:v>Existing decisions: WO2021194584A2 family H/Yes; CN207144670U L/No</x:v>
      </x:c>
      <x:c r="D55" s="52"/>
      <x:c r="E55" s="52"/>
      <x:c r="F55" s="52"/>
      <x:c r="G55" s="52"/>
      <x:c r="H55" s="52"/>
    </x:row>
    <x:row r="56" ht="50" customHeight="1">
      <x:c r="A56" s="52" t="str">
        <x:v>Unresolved publications</x:v>
      </x:c>
      <x:c r="B56" s="52" t="n">
        <x:v>18</x:v>
      </x:c>
      <x:c r="C56" s="52" t="str">
        <x:v>Shuffled analyst packet; no inferred labels</x:v>
      </x:c>
      <x:c r="D56" s="52"/>
      <x:c r="E56" s="52"/>
      <x:c r="F56" s="52"/>
      <x:c r="G56" s="52"/>
      <x:c r="H56" s="52"/>
    </x:row>
    <x:row r="57" ht="50" customHeight="1">
      <x:c r="A57" s="52" t="str">
        <x:v>Top-20 publication overlap</x:v>
      </x:c>
      <x:c r="B57" s="52" t="n">
        <x:v>1</x:v>
      </x:c>
      <x:c r="C57" s="52" t="str">
        <x:v>CN207144670U; Questel FAN overlap also one</x:v>
      </x:c>
      <x:c r="D57" s="52"/>
      <x:c r="E57" s="52"/>
      <x:c r="F57" s="52"/>
      <x:c r="G57" s="52"/>
      <x:c r="H57" s="52"/>
    </x:row>
    <x:row r="58" ht="50" customHeight="1">
      <x:c r="A58" s="52" t="str">
        <x:v>Known report groups</x:v>
      </x:c>
      <x:c r="B58" s="52" t="n">
        <x:v>2</x:v>
      </x:c>
      <x:c r="C58" s="52" t="str">
        <x:v>One includable, one excluded; unresolved families remain unassigned</x:v>
      </x:c>
      <x:c r="D58" s="52"/>
      <x:c r="E58" s="52"/>
      <x:c r="F58" s="52"/>
      <x:c r="G58" s="52"/>
      <x:c r="H58" s="52"/>
    </x:row>
    <x:row r="59" ht="50" customHeight="1">
      <x:c r="A59" s="52" t="str">
        <x:v>Primary metric: V0 includable groups</x:v>
      </x:c>
      <x:c r="B59" s="52" t="str">
        <x:v>N/A</x:v>
      </x:c>
      <x:c r="C59" s="52" t="str">
        <x:v>Number of analyst-includable unique report-family groups in first 20 publication slots</x:v>
      </x:c>
      <x:c r="D59" s="52"/>
      <x:c r="E59" s="52"/>
      <x:c r="F59" s="52"/>
      <x:c r="G59" s="52"/>
      <x:c r="H59" s="52"/>
    </x:row>
    <x:row r="60" ht="50" customHeight="1">
      <x:c r="A60" s="52" t="str">
        <x:v>V0 publication Precision@20</x:v>
      </x:c>
      <x:c r="B60" s="52" t="str">
        <x:v>N/A</x:v>
      </x:c>
      <x:c r="C60" s="52" t="str">
        <x:v>Pending complete adjudication</x:v>
      </x:c>
      <x:c r="D60" s="52"/>
      <x:c r="E60" s="52"/>
      <x:c r="F60" s="52"/>
      <x:c r="G60" s="52"/>
      <x:c r="H60" s="52"/>
    </x:row>
    <x:row r="61" ht="50" customHeight="1">
      <x:c r="A61" s="52" t="str">
        <x:v>V0 report-family inclusion yield</x:v>
      </x:c>
      <x:c r="B61" s="52" t="str">
        <x:v>N/A</x:v>
      </x:c>
      <x:c r="C61" s="52" t="str">
        <x:v>Pending complete adjudication and group reconciliation</x:v>
      </x:c>
      <x:c r="D61" s="52"/>
      <x:c r="E61" s="52"/>
      <x:c r="F61" s="52"/>
      <x:c r="G61" s="52"/>
      <x:c r="H61" s="52"/>
    </x:row>
    <x:row r="62" ht="50" customHeight="1">
      <x:c r="A62" s="52" t="str">
        <x:v>Analyst review minutes</x:v>
      </x:c>
      <x:c r="B62" s="52" t="str">
        <x:v>N/A</x:v>
      </x:c>
      <x:c r="C62" s="52" t="str">
        <x:v>One total active time requested; access delays excluded</x:v>
      </x:c>
      <x:c r="D62" s="52"/>
      <x:c r="E62" s="52"/>
      <x:c r="F62" s="52"/>
      <x:c r="G62" s="52"/>
      <x:c r="H62" s="52"/>
    </x:row>
    <x:row r="63" ht="50" customHeight="1">
      <x:c r="A63" s="52" t="str">
        <x:v>Recall@50 guardrail</x:v>
      </x:c>
      <x:c r="B63" s="52" t="str">
        <x:v>Pass (frozen metrics)</x:v>
      </x:c>
      <x:c r="C63" s="52" t="str">
        <x:v>V1 2/10 &gt;= V0 2/10; no new run</x:v>
      </x:c>
      <x:c r="D63" s="52"/>
      <x:c r="E63" s="52"/>
      <x:c r="F63" s="52"/>
      <x:c r="G63" s="52"/>
      <x:c r="H63" s="52"/>
    </x:row>
    <x:row r="64" ht="50" customHeight="1">
      <x:c r="A64" s="52" t="str">
        <x:v>Recall@100 guardrail</x:v>
      </x:c>
      <x:c r="B64" s="52" t="str">
        <x:v>Pass (frozen metrics)</x:v>
      </x:c>
      <x:c r="C64" s="52" t="str">
        <x:v>V1 4/10 &gt; V0 2/10; no new run</x:v>
      </x:c>
      <x:c r="D64" s="52"/>
      <x:c r="E64" s="52"/>
      <x:c r="F64" s="52"/>
      <x:c r="G64" s="52"/>
      <x:c r="H64" s="52"/>
    </x:row>
    <x:row r="65" ht="50" customHeight="1">
      <x:c r="A65" s="52" t="str">
        <x:v>Final EXP-014 decision</x:v>
      </x:c>
      <x:c r="B65" s="52" t="str">
        <x:v>N/A</x:v>
      </x:c>
      <x:c r="C65" s="52" t="str">
        <x:v>No PROMOTE / REJECT / HOLD outcome calculated</x:v>
      </x:c>
      <x:c r="D65" s="52"/>
      <x:c r="E65" s="52"/>
      <x:c r="F65" s="52"/>
      <x:c r="G65" s="52"/>
      <x:c r="H65" s="52"/>
    </x:row>
    <x:row r="66" ht="50" customHeight="1">
      <x:c r="A66" s="52" t="str">
        <x:v>Pre-registered PROMOTE</x:v>
      </x:c>
      <x:c r="B66" s="52" t="str">
        <x:v>V1 at least 2 groups better</x:v>
      </x:c>
      <x:c r="C66" s="52" t="str">
        <x:v>Requires both recall guardrails to pass</x:v>
      </x:c>
      <x:c r="D66" s="52"/>
      <x:c r="E66" s="52"/>
      <x:c r="F66" s="52"/>
      <x:c r="G66" s="52"/>
      <x:c r="H66" s="52"/>
    </x:row>
    <x:row r="67" ht="50" customHeight="1">
      <x:c r="A67" s="52" t="str">
        <x:v>Pre-registered REJECT</x:v>
      </x:c>
      <x:c r="B67" s="52" t="str">
        <x:v>V1 fewer groups OR guardrail failure</x:v>
      </x:c>
      <x:c r="C67" s="52" t="str">
        <x:v>Guardrail failure takes precedence over group-count HOLD condition</x:v>
      </x:c>
      <x:c r="D67" s="52"/>
      <x:c r="E67" s="52"/>
      <x:c r="F67" s="52"/>
      <x:c r="G67" s="52"/>
      <x:c r="H67" s="52"/>
    </x:row>
    <x:row r="68" ht="50" customHeight="1">
      <x:c r="A68" s="52" t="str">
        <x:v>Pre-registered HOLD</x:v>
      </x:c>
      <x:c r="B68" s="52" t="str">
        <x:v>Equal or 1 group better</x:v>
      </x:c>
      <x:c r="C68" s="52" t="str">
        <x:v>With both recall guardrails passing</x:v>
      </x:c>
      <x:c r="D68" s="52"/>
      <x:c r="E68" s="52"/>
      <x:c r="F68" s="52"/>
      <x:c r="G68" s="52"/>
      <x:c r="H68" s="52"/>
    </x:row>
    <x:row r="69" ht="50" customHeight="1">
      <x:c r="A69" s="52" t="str">
        <x:v>Final V0 report-group denominator</x:v>
      </x:c>
      <x:c r="B69" s="52" t="str">
        <x:v>N/A</x:v>
      </x:c>
      <x:c r="C69" s="52" t="str">
        <x:v>Two groups currently identifiable; do not assume all other records are separate families</x:v>
      </x:c>
      <x:c r="D69" s="52"/>
      <x:c r="E69" s="52"/>
      <x:c r="F69" s="52"/>
      <x:c r="G69" s="52"/>
      <x:c r="H69" s="52"/>
    </x:row>
    <x:row r="72" ht="48" customHeight="1">
      <x:c r="A72" s="59" t="str">
        <x:v>EXP-015 — retrieval volume preflight</x:v>
      </x:c>
      <x:c r="B72" s="59"/>
      <x:c r="C72" s="59"/>
      <x:c r="D72" s="59"/>
      <x:c r="E72" s="59"/>
      <x:c r="F72" s="59"/>
      <x:c r="G72" s="59"/>
      <x:c r="H72" s="59"/>
    </x:row>
    <x:row r="73" ht="48" customHeight="1">
      <x:c r="A73" s="59" t="str">
        <x:v>HOLD — DESIGN REVISION REQUIRED AFTER VOLUME PREFLIGHT</x:v>
      </x:c>
      <x:c r="B73" s="59"/>
      <x:c r="C73" s="59"/>
      <x:c r="D73" s="59"/>
      <x:c r="E73" s="59"/>
      <x:c r="F73" s="59"/>
      <x:c r="G73" s="59"/>
      <x:c r="H73" s="59"/>
    </x:row>
    <x:row r="74" ht="48" customHeight="1">
      <x:c r="A74" s="59"/>
      <x:c r="B74" s="59"/>
      <x:c r="C74" s="59"/>
      <x:c r="D74" s="59"/>
      <x:c r="E74" s="59"/>
      <x:c r="F74" s="59"/>
      <x:c r="G74" s="59"/>
      <x:c r="H74" s="59"/>
    </x:row>
    <x:row r="75" ht="48" customHeight="1">
      <x:c r="A75" s="52" t="str">
        <x:v>EXP015-015A-Q1</x:v>
      </x:c>
      <x:c r="B75" s="52" t="n">
        <x:v>23935</x:v>
      </x:c>
      <x:c r="C75" s="52" t="str">
        <x:v>FAMPAT families; executed 2026-09-17; export blocked by volume.</x:v>
      </x:c>
      <x:c r="D75" s="52"/>
      <x:c r="E75" s="52"/>
      <x:c r="F75" s="52"/>
      <x:c r="G75" s="52"/>
      <x:c r="H75" s="52"/>
    </x:row>
    <x:row r="76" ht="48" customHeight="1">
      <x:c r="A76" s="52" t="str">
        <x:v>EXP015-015A-Q2</x:v>
      </x:c>
      <x:c r="B76" s="52" t="n">
        <x:v>493993</x:v>
      </x:c>
      <x:c r="C76" s="52" t="str">
        <x:v>FAMPAT families; executed 2026-09-17; export blocked by volume.</x:v>
      </x:c>
      <x:c r="D76" s="52"/>
      <x:c r="E76" s="52"/>
      <x:c r="F76" s="52"/>
      <x:c r="G76" s="52"/>
      <x:c r="H76" s="52"/>
    </x:row>
    <x:row r="77" ht="48" customHeight="1">
      <x:c r="A77" s="52" t="str">
        <x:v>Fields / filters</x:v>
      </x:c>
      <x:c r="B77" s="52" t="str">
        <x:v>TI/AB/CLMS</x:v>
      </x:c>
      <x:c r="C77" s="52" t="str">
        <x:v>FAMPAT; Title, Abstract and Claims only; no other filters.</x:v>
      </x:c>
      <x:c r="D77" s="52"/>
      <x:c r="E77" s="52"/>
      <x:c r="F77" s="52"/>
      <x:c r="G77" s="52"/>
      <x:c r="H77" s="52"/>
    </x:row>
    <x:row r="78" ht="48" customHeight="1">
      <x:c r="A78" s="52" t="str">
        <x:v>Other queries</x:v>
      </x:c>
      <x:c r="B78" s="52" t="str">
        <x:v>Paused</x:v>
      </x:c>
      <x:c r="C78" s="52" t="str">
        <x:v>015A-Q3/Q4, 015B-Q1 and 015C-Q1–Q4 paused; baseline 00-Q1 not rerun.</x:v>
      </x:c>
      <x:c r="D78" s="52"/>
      <x:c r="E78" s="52"/>
      <x:c r="F78" s="52"/>
      <x:c r="G78" s="52"/>
      <x:c r="H78" s="52"/>
    </x:row>
    <x:row r="79" ht="48" customHeight="1">
      <x:c r="A79" s="52" t="str">
        <x:v>Final metrics</x:v>
      </x:c>
      <x:c r="B79" s="52" t="str">
        <x:v>N/A</x:v>
      </x:c>
      <x:c r="C79" s="52" t="str">
        <x:v>Union, GOLD recovery, incremental GOLD / candidate families, marginal GOLD per 1,000: N/A.</x:v>
      </x:c>
      <x:c r="D79" s="52"/>
      <x:c r="E79" s="52"/>
      <x:c r="F79" s="52"/>
      <x:c r="G79" s="52"/>
      <x:c r="H79" s="52"/>
    </x:row>
    <x:row r="80" ht="48" customHeight="1">
      <x:c r="A80" s="52" t="str">
        <x:v>Evidence</x:v>
      </x:c>
      <x:c r="B80" s="52" t="str">
        <x:v>Analyst report</x:v>
      </x:c>
      <x:c r="C80" s="52" t="str">
        <x:v>Screenshots reported outside repository; not supplied to Codex.</x:v>
      </x:c>
      <x:c r="D80" s="52"/>
      <x:c r="E80" s="52"/>
      <x:c r="F80" s="52"/>
      <x:c r="G80" s="52"/>
      <x:c r="H80" s="52"/>
    </x:row>
    <x:row r="81" ht="48" customHeight="1">
      <x:c r="A81" s="52" t="str">
        <x:v>Decision</x:v>
      </x:c>
      <x:c r="B81" s="52" t="str">
        <x:v>HOLD</x:v>
      </x:c>
      <x:c r="C81" s="52" t="str">
        <x:v>Query-design volume failure. No component promoted or rejected as a whole.</x:v>
      </x:c>
      <x:c r="D81" s="52"/>
      <x:c r="E81" s="52"/>
      <x:c r="F81" s="52"/>
      <x:c r="G81" s="52"/>
      <x:c r="H81" s="52"/>
    </x:row>
    <x:row r="82" ht="48" customHeight="1">
      <x:c r="A82" s="52" t="str">
        <x:v>Pending action</x:v>
      </x:c>
      <x:c r="B82" s="52" t="str">
        <x:v>Design revision</x:v>
      </x:c>
      <x:c r="C82" s="52" t="str">
        <x:v>Predeclare volume checks; control high-collision terms and functional relationships.</x:v>
      </x:c>
      <x:c r="D82" s="52"/>
      <x:c r="E82" s="52"/>
      <x:c r="F82" s="52"/>
      <x:c r="G82" s="52"/>
      <x:c r="H82" s="52"/>
    </x:row>
    <x:row r="83" ht="48" customHeight="1">
      <x:c r="A83" s="52" t="str">
        <x:v>Source</x:v>
      </x:c>
      <x:c r="B83" s="52" t="str">
        <x:v>EXP-015 record</x:v>
      </x:c>
      <x:c r="C83" s="52" t="str">
        <x:v>experiments/BC001/EXP-015/preflight/volume-preflight-evidence.md</x:v>
      </x:c>
      <x:c r="D83" s="52"/>
      <x:c r="E83" s="52"/>
      <x:c r="F83" s="52"/>
      <x:c r="G83" s="52"/>
      <x:c r="H83" s="52"/>
    </x:row>
    <x:row r="86">
      <x:c r="A86" s="65" t="str">
        <x:v>EXP-016A — feature-aware title/abstract ranking</x:v>
      </x:c>
      <x:c r="B86" s="65"/>
      <x:c r="C86" s="65"/>
      <x:c r="D86" s="65"/>
      <x:c r="E86" s="65"/>
      <x:c r="F86" s="65"/>
      <x:c r="G86" s="65"/>
      <x:c r="H86" s="65"/>
    </x:row>
    <x:row r="87" ht="24" customHeight="1">
      <x:c r="A87" s="36" t="str">
        <x:v>REJECT — Recall@20 fell below its guardrail; median retrieved-GOLD rank worsened by more than 10%.</x:v>
      </x:c>
      <x:c r="B87" s="36"/>
      <x:c r="C87" s="36"/>
      <x:c r="D87" s="36"/>
      <x:c r="E87" s="36"/>
      <x:c r="F87" s="36"/>
      <x:c r="G87" s="36"/>
      <x:c r="H87" s="36"/>
    </x:row>
    <x:row r="89" ht="22" customHeight="1">
      <x:c r="A89" s="67" t="str">
        <x:v>Metric</x:v>
      </x:c>
      <x:c r="B89" s="67" t="str">
        <x:v>EXP-013</x:v>
      </x:c>
      <x:c r="D89" s="67" t="str">
        <x:v>EXP-016A</x:v>
      </x:c>
      <x:c r="E89" s="67" t="str">
        <x:v>Change</x:v>
      </x:c>
    </x:row>
    <x:row r="90" ht="22" customHeight="1">
      <x:c r="A90" t="str">
        <x:v>Recall@20</x:v>
      </x:c>
      <x:c r="B90" s="18" t="n">
        <x:v>0.2</x:v>
      </x:c>
      <x:c r="D90" s="18" t="n">
        <x:v>0.1</x:v>
      </x:c>
      <x:c r="E90" s="68" t="n">
        <x:f>(D90-B90)*100</x:f>
        <x:v>-10</x:v>
      </x:c>
    </x:row>
    <x:row r="91" ht="22" customHeight="1">
      <x:c r="A91" t="str">
        <x:v>Recall@50</x:v>
      </x:c>
      <x:c r="B91" s="18" t="n">
        <x:v>0.2</x:v>
      </x:c>
      <x:c r="D91" s="18" t="n">
        <x:v>0.2</x:v>
      </x:c>
      <x:c r="E91" s="68" t="n">
        <x:f>(D91-B91)*100</x:f>
        <x:v>0</x:v>
      </x:c>
    </x:row>
    <x:row r="92" ht="22" customHeight="1">
      <x:c r="A92" t="str">
        <x:v>Recall@100</x:v>
      </x:c>
      <x:c r="B92" s="18" t="n">
        <x:v>0.4</x:v>
      </x:c>
      <x:c r="D92" s="18" t="n">
        <x:v>0.3</x:v>
      </x:c>
      <x:c r="E92" s="68" t="n">
        <x:f>(D92-B92)*100</x:f>
        <x:v>-10.000000000000004</x:v>
      </x:c>
    </x:row>
    <x:row r="93" ht="22" customHeight="1">
      <x:c r="A93" t="str">
        <x:v>Recall@200</x:v>
      </x:c>
      <x:c r="B93" s="18" t="n">
        <x:v>0.5</x:v>
      </x:c>
      <x:c r="D93" s="18" t="n">
        <x:v>0.3</x:v>
      </x:c>
      <x:c r="E93" s="68" t="n">
        <x:f>(D93-B93)*100</x:f>
        <x:v>-20</x:v>
      </x:c>
    </x:row>
    <x:row r="94" ht="22" customHeight="1">
      <x:c r="A94" t="str">
        <x:v>Median GOLD rank</x:v>
      </x:c>
      <x:c r="B94" s="45" t="n">
        <x:v>90.5</x:v>
      </x:c>
      <x:c r="D94" s="45" t="n">
        <x:v>142.5</x:v>
      </x:c>
      <x:c r="E94" s="45" t="n">
        <x:f>D94-B94</x:f>
        <x:v>52</x:v>
      </x:c>
    </x:row>
    <x:row r="96" ht="22" customHeight="1">
      <x:c r="A96" s="36" t="str">
        <x:v>Recall denominator: GOLD-10. Median: six retrieved GOLD families. All 3,238 records ranked exactly once.</x:v>
      </x:c>
      <x:c r="B96" s="36"/>
      <x:c r="C96" s="36"/>
      <x:c r="D96" s="36"/>
      <x:c r="E96" s="36"/>
      <x:c r="F96" s="36"/>
      <x:c r="G96" s="36"/>
      <x:c r="H96" s="36"/>
    </x:row>
    <x:row r="97" ht="22" customHeight="1">
      <x:c r="A97" s="36" t="str">
        <x:v>Ranking frozen before private evaluation. Original key unavailable; all six reconstructed GOLD mappings are exact.</x:v>
      </x:c>
      <x:c r="B97" s="36"/>
      <x:c r="C97" s="36"/>
      <x:c r="D97" s="36"/>
      <x:c r="E97" s="36"/>
      <x:c r="F97" s="36"/>
      <x:c r="G97" s="36"/>
      <x:c r="H97" s="36"/>
    </x:row>
    <x:row r="98" ht="22" customHeight="1">
      <x:c r="A98" s="36" t="str">
        <x:v>Deterministic rule extraction; evidence judgments are not analyst labels. Component remains a challenger.</x:v>
      </x:c>
      <x:c r="B98" s="36"/>
      <x:c r="C98" s="36"/>
      <x:c r="D98" s="36"/>
      <x:c r="E98" s="36"/>
      <x:c r="F98" s="36"/>
      <x:c r="G98" s="36"/>
      <x:c r="H98" s="36"/>
    </x:row>
    <x:row r="99" ht="22" customHeight="1">
      <x:c r="A99" s="36" t="str">
        <x:v>Source: experiments/BC001/EXP-016A/evaluation/evaluation.md</x:v>
      </x:c>
      <x:c r="B99" s="36"/>
      <x:c r="C99" s="36"/>
      <x:c r="D99" s="36"/>
      <x:c r="E99" s="36"/>
      <x:c r="F99" s="36"/>
      <x:c r="G99" s="36"/>
      <x:c r="H99" s="36"/>
    </x:row>
  </x:sheetData>
  <x:mergeCells>
    <x:mergeCell ref="A1:H2"/>
    <x:mergeCell ref="A12:H12"/>
    <x:mergeCell ref="A13:H17"/>
    <x:mergeCell ref="A19:H19"/>
    <x:mergeCell ref="C25:H25"/>
    <x:mergeCell ref="C26:H26"/>
    <x:mergeCell ref="C27:H27"/>
    <x:mergeCell ref="C28:H28"/>
    <x:mergeCell ref="C29:H29"/>
    <x:mergeCell ref="C30:H30"/>
    <x:mergeCell ref="C31:H31"/>
    <x:mergeCell ref="C32:H32"/>
    <x:mergeCell ref="C33:H33"/>
    <x:mergeCell ref="C34:H34"/>
    <x:mergeCell ref="C35:H35"/>
    <x:mergeCell ref="C36:H36"/>
    <x:mergeCell ref="C37:H37"/>
    <x:mergeCell ref="C38:H38"/>
    <x:mergeCell ref="C39:H39"/>
    <x:mergeCell ref="C40:H40"/>
    <x:mergeCell ref="C41:H41"/>
    <x:mergeCell ref="C42:H42"/>
    <x:mergeCell ref="C43:H43"/>
    <x:mergeCell ref="C44:H44"/>
    <x:mergeCell ref="C45:H45"/>
    <x:mergeCell ref="A48:H48"/>
    <x:mergeCell ref="C49:H49"/>
    <x:mergeCell ref="C50:H50"/>
    <x:mergeCell ref="C51:H51"/>
    <x:mergeCell ref="C52:H52"/>
    <x:mergeCell ref="C53:H53"/>
    <x:mergeCell ref="C54:H54"/>
    <x:mergeCell ref="C55:H55"/>
    <x:mergeCell ref="C56:H56"/>
    <x:mergeCell ref="C57:H57"/>
    <x:mergeCell ref="C58:H58"/>
    <x:mergeCell ref="C59:H59"/>
    <x:mergeCell ref="C60:H60"/>
    <x:mergeCell ref="C61:H61"/>
    <x:mergeCell ref="C62:H62"/>
    <x:mergeCell ref="C63:H63"/>
    <x:mergeCell ref="C64:H64"/>
    <x:mergeCell ref="C65:H65"/>
    <x:mergeCell ref="C66:H66"/>
    <x:mergeCell ref="C67:H67"/>
    <x:mergeCell ref="C68:H68"/>
    <x:mergeCell ref="C69:H69"/>
    <x:mergeCell ref="A72:H72"/>
    <x:mergeCell ref="A73:H74"/>
    <x:mergeCell ref="C75:H75"/>
    <x:mergeCell ref="C76:H76"/>
    <x:mergeCell ref="C77:H77"/>
    <x:mergeCell ref="C78:H78"/>
    <x:mergeCell ref="C79:H79"/>
    <x:mergeCell ref="C80:H80"/>
    <x:mergeCell ref="C81:H81"/>
    <x:mergeCell ref="C82:H82"/>
    <x:mergeCell ref="C83:H83"/>
    <x:mergeCell ref="A86:H86"/>
    <x:mergeCell ref="A87:H87"/>
    <x:mergeCell ref="A96:H96"/>
    <x:mergeCell ref="A97:H97"/>
    <x:mergeCell ref="A98:H98"/>
    <x:mergeCell ref="A99:H9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32" hidden="0" customWidth="1"/>
    <x:col min="8" max="8" width="23" hidden="0" customWidth="1"/>
    <x:col min="9" max="9" width="13" hidden="0" customWidth="1"/>
    <x:col min="10" max="10" width="13" hidden="0" customWidth="1"/>
    <x:col min="11" max="11" width="4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4" hidden="0" customWidth="1"/>
    <x:col min="19" max="19" width="28" hidden="0" customWidth="1"/>
    <x:col min="20" max="20" width="34" hidden="0" customWidth="1"/>
    <x:col min="21" max="21" width="18" hidden="0" customWidth="1"/>
    <x:col min="22" max="22" width="34" hidden="0" customWidth="1"/>
  </x:cols>
  <x:sheetData>
    <x:row r="1">
      <x:c r="A1" s="38" t="str">
        <x:v>Experiment ID</x:v>
      </x:c>
      <x:c r="B1" s="38" t="str">
        <x:v>Date</x:v>
      </x:c>
      <x:c r="C1" s="38" t="str">
        <x:v>Benchmark ID</x:v>
      </x:c>
      <x:c r="D1" s="38" t="str">
        <x:v>Benchmark Version</x:v>
      </x:c>
      <x:c r="E1" s="38" t="str">
        <x:v>Base System</x:v>
      </x:c>
      <x:c r="F1" s="38" t="str">
        <x:v>Challenger System</x:v>
      </x:c>
      <x:c r="G1" s="38" t="str">
        <x:v>Hypothesis / Objective</x:v>
      </x:c>
      <x:c r="H1" s="38" t="str">
        <x:v>Primary Component Changed</x:v>
      </x:c>
      <x:c r="I1" s="38" t="str">
        <x:v>From Version</x:v>
      </x:c>
      <x:c r="J1" s="38" t="str">
        <x:v>To Version</x:v>
      </x:c>
      <x:c r="K1" s="38" t="str">
        <x:v>What Changed</x:v>
      </x:c>
      <x:c r="L1" s="38" t="str">
        <x:v>Recall@50</x:v>
      </x:c>
      <x:c r="M1" s="38" t="str">
        <x:v>Recall@100</x:v>
      </x:c>
      <x:c r="N1" s="38" t="str">
        <x:v>Precision@20</x:v>
      </x:c>
      <x:c r="O1" s="38" t="str">
        <x:v>Gold in Top 10</x:v>
      </x:c>
      <x:c r="P1" s="38" t="str">
        <x:v>Median Rank of Retrieved GOLD</x:v>
      </x:c>
      <x:c r="Q1" s="38" t="str">
        <x:v>Analyst Minutes</x:v>
      </x:c>
      <x:c r="R1" s="38" t="str">
        <x:v>Model Cost USD</x:v>
      </x:c>
      <x:c r="S1" s="38" t="str">
        <x:v>Guardrail / Side Effect</x:v>
      </x:c>
      <x:c r="T1" s="38" t="str">
        <x:v>Learning</x:v>
      </x:c>
      <x:c r="U1" s="38" t="str">
        <x:v>Decision</x:v>
      </x:c>
      <x:c r="V1" s="38" t="str">
        <x:v>Notes</x:v>
      </x:c>
    </x:row>
    <x:row r="2">
      <x:c r="A2" s="24" t="str">
        <x:v>HIST-000</x:v>
      </x:c>
      <x:c r="B2" s="30" t="n">
        <x:v>46277</x:v>
      </x:c>
      <x:c r="C2" s="24" t="str">
        <x:v>BC001</x:v>
      </x:c>
      <x:c r="D2" s="24" t="str">
        <x:v>0.1-provisional</x:v>
      </x:c>
      <x:c r="E2" s="24" t="str"/>
      <x:c r="F2" s="24" t="str"/>
      <x:c r="G2" s="24" t="str">
        <x:v>Original analyst patentability search</x:v>
      </x:c>
      <x:c r="H2" s="24" t="str">
        <x:v>Human baseline</x:v>
      </x:c>
      <x:c r="I2" s="24" t="str"/>
      <x:c r="J2" s="24" t="str"/>
      <x:c r="K2" s="24" t="str">
        <x:v>~12–15 queries across tools; ~2,000–3,000 patents/families reviewed</x:v>
      </x:c>
      <x:c r="L2" s="31" t="str"/>
      <x:c r="M2" s="31" t="str"/>
      <x:c r="N2" s="31" t="str"/>
      <x:c r="O2" s="24" t="str"/>
      <x:c r="P2" s="43" t="str"/>
      <x:c r="Q2" s="44" t="str">
        <x:v>~5 days</x:v>
      </x:c>
      <x:c r="R2" s="32" t="str"/>
      <x:c r="S2" s="24" t="str">
        <x:v>Not a single-query retrieval baseline</x:v>
      </x:c>
      <x:c r="T2" s="24" t="str">
        <x:v>Expert process baseline; query construction + review were bottlenecks</x:v>
      </x:c>
      <x:c r="U2" s="24" t="str">
        <x:v>BASELINE</x:v>
      </x:c>
      <x:c r="V2" s="24" t="str">
        <x:v>Historical human-process baseline</x:v>
      </x:c>
    </x:row>
    <x:row r="3">
      <x:c r="A3" s="24" t="str">
        <x:v>EXP-001</x:v>
      </x:c>
      <x:c r="B3" s="30" t="n">
        <x:v>46277</x:v>
      </x:c>
      <x:c r="C3" s="24" t="str">
        <x:v>BC001</x:v>
      </x:c>
      <x:c r="D3" s="24" t="str">
        <x:v>0.1-provisional</x:v>
      </x:c>
      <x:c r="E3" s="24" t="str"/>
      <x:c r="F3" s="24" t="str"/>
      <x:c r="G3" s="24" t="str">
        <x:v>Test LLM disclosure decomposition</x:v>
      </x:c>
      <x:c r="H3" s="24" t="str">
        <x:v>Feature Extractor</x:v>
      </x:c>
      <x:c r="I3" s="24" t="str">
        <x:v>raw</x:v>
      </x:c>
      <x:c r="J3" s="24" t="str">
        <x:v>fe_v0.2_bc001_corrected</x:v>
      </x:c>
      <x:c r="K3" s="24" t="str">
        <x:v>Claude E1–E16 + analyst corrections</x:v>
      </x:c>
      <x:c r="L3" s="31" t="str"/>
      <x:c r="M3" s="31" t="str"/>
      <x:c r="N3" s="31" t="str"/>
      <x:c r="O3" s="24" t="str"/>
      <x:c r="P3" s="43" t="str"/>
      <x:c r="Q3" s="44" t="str"/>
      <x:c r="R3" s="32" t="str"/>
      <x:c r="S3" s="24" t="str">
        <x:v>One hallucinated feature; exact F1–F8 not separately signed off</x:v>
      </x:c>
      <x:c r="T3" s="24" t="str">
        <x:v>Useful decomposition after corrections; no time-saving proof</x:v>
      </x:c>
      <x:c r="U3" s="24" t="str">
        <x:v>DIAGNOSTIC</x:v>
      </x:c>
      <x:c r="V3" s="24" t="str">
        <x:v>Partially validated</x:v>
      </x:c>
    </x:row>
    <x:row r="4">
      <x:c r="A4" s="24" t="str">
        <x:v>EXP-002</x:v>
      </x:c>
      <x:c r="B4" s="30" t="n">
        <x:v>46277</x:v>
      </x:c>
      <x:c r="C4" s="24" t="str">
        <x:v>BC001</x:v>
      </x:c>
      <x:c r="D4" s="24" t="str">
        <x:v>0.1-provisional</x:v>
      </x:c>
      <x:c r="E4" s="24" t="str"/>
      <x:c r="F4" s="24" t="str"/>
      <x:c r="G4" s="24" t="str">
        <x:v>Test clarification-question generation</x:v>
      </x:c>
      <x:c r="H4" s="24" t="str">
        <x:v>Feature Extractor</x:v>
      </x:c>
      <x:c r="I4" s="24" t="str"/>
      <x:c r="J4" s="24" t="str"/>
      <x:c r="K4" s="24" t="str">
        <x:v>Five inventor questions generated</x:v>
      </x:c>
      <x:c r="L4" s="31" t="str"/>
      <x:c r="M4" s="31" t="str"/>
      <x:c r="N4" s="31" t="str"/>
      <x:c r="O4" s="24" t="str"/>
      <x:c r="P4" s="43" t="str"/>
      <x:c r="Q4" s="44" t="str"/>
      <x:c r="R4" s="32" t="str"/>
      <x:c r="S4" s="24" t="str">
        <x:v>Questions were unnecessary/non-blocking</x:v>
      </x:c>
      <x:c r="T4" s="24" t="str">
        <x:v>Generic ambiguity generation added avoidable effort</x:v>
      </x:c>
      <x:c r="U4" s="24" t="str">
        <x:v>REJECT</x:v>
      </x:c>
      <x:c r="V4" s="24" t="str">
        <x:v>Rejected</x:v>
      </x:c>
    </x:row>
    <x:row r="5">
      <x:c r="A5" s="24" t="str">
        <x:v>EXP-003</x:v>
      </x:c>
      <x:c r="B5" s="30" t="n">
        <x:v>46277</x:v>
      </x:c>
      <x:c r="C5" s="24" t="str">
        <x:v>BC001</x:v>
      </x:c>
      <x:c r="D5" s="24" t="str">
        <x:v>0.1-provisional</x:v>
      </x:c>
      <x:c r="E5" s="24" t="str"/>
      <x:c r="F5" s="24" t="str"/>
      <x:c r="G5" s="24" t="str">
        <x:v>Capture analyst SOP and Orbit grammar</x:v>
      </x:c>
      <x:c r="H5" s="24" t="str">
        <x:v>Search Controller</x:v>
      </x:c>
      <x:c r="I5" s="24" t="str"/>
      <x:c r="J5" s="24" t="str">
        <x:v>sc_v0.0_analyst_sop_spec</x:v>
      </x:c>
      <x:c r="K5" s="24" t="str">
        <x:v>Broad→narrow workflow; result bands; syntax/operator examples</x:v>
      </x:c>
      <x:c r="L5" s="31" t="str"/>
      <x:c r="M5" s="31" t="str"/>
      <x:c r="N5" s="31" t="str"/>
      <x:c r="O5" s="24" t="str"/>
      <x:c r="P5" s="43" t="str"/>
      <x:c r="Q5" s="44" t="str"/>
      <x:c r="R5" s="32" t="str"/>
      <x:c r="S5" s="24" t="str">
        <x:v>Requirements captured, not implemented</x:v>
      </x:c>
      <x:c r="T5" s="24" t="str">
        <x:v>Query planning is iterative control, not one Boolean string</x:v>
      </x:c>
      <x:c r="U5" s="24" t="str">
        <x:v>DIAGNOSTIC</x:v>
      </x:c>
      <x:c r="V5" s="24" t="str">
        <x:v>Requirements artifact</x:v>
      </x:c>
    </x:row>
    <x:row r="6">
      <x:c r="A6" s="24" t="str">
        <x:v>EXP-004</x:v>
      </x:c>
      <x:c r="B6" s="30" t="n">
        <x:v>46277</x:v>
      </x:c>
      <x:c r="C6" s="24" t="str">
        <x:v>BC001</x:v>
      </x:c>
      <x:c r="D6" s="24" t="str">
        <x:v>0.1-provisional</x:v>
      </x:c>
      <x:c r="E6" s="24" t="str"/>
      <x:c r="F6" s="24" t="str"/>
      <x:c r="G6" s="24" t="str">
        <x:v>Test 15-query staged portfolio</x:v>
      </x:c>
      <x:c r="H6" s="24" t="str">
        <x:v>Query Planner</x:v>
      </x:c>
      <x:c r="I6" s="24" t="str"/>
      <x:c r="J6" s="24" t="str">
        <x:v>qp_v0.1_ladder_rejected</x:v>
      </x:c>
      <x:c r="K6" s="24" t="str">
        <x:v>Claude CB1–CB9 + 15-query ladder</x:v>
      </x:c>
      <x:c r="L6" s="31" t="str"/>
      <x:c r="M6" s="31" t="str"/>
      <x:c r="N6" s="31" t="str"/>
      <x:c r="O6" s="24" t="str"/>
      <x:c r="P6" s="43" t="str"/>
      <x:c r="Q6" s="44" t="str"/>
      <x:c r="R6" s="32" t="str"/>
      <x:c r="S6" s="24" t="str">
        <x:v>Unsupported syntax; proximity too wide; overused AND</x:v>
      </x:c>
      <x:c r="T6" s="24" t="str">
        <x:v>Syntactic plausibility ≠ usable Orbit query</x:v>
      </x:c>
      <x:c r="U6" s="24" t="str">
        <x:v>REJECT</x:v>
      </x:c>
      <x:c r="V6" s="24" t="str">
        <x:v>Rejected</x:v>
      </x:c>
    </x:row>
    <x:row r="7">
      <x:c r="A7" s="24" t="str">
        <x:v>EXP-005</x:v>
      </x:c>
      <x:c r="B7" s="30" t="n">
        <x:v>46277</x:v>
      </x:c>
      <x:c r="C7" s="24" t="str">
        <x:v>BC001</x:v>
      </x:c>
      <x:c r="D7" s="24" t="str">
        <x:v>0.1-provisional</x:v>
      </x:c>
      <x:c r="E7" s="24" t="str"/>
      <x:c r="F7" s="24" t="str"/>
      <x:c r="G7" s="24" t="str">
        <x:v>Formulate focused Query B</x:v>
      </x:c>
      <x:c r="H7" s="24" t="str">
        <x:v>Query Planner</x:v>
      </x:c>
      <x:c r="I7" s="24" t="str">
        <x:v>qp_v0.1_ladder_rejected</x:v>
      </x:c>
      <x:c r="J7" s="24" t="str">
        <x:v>qp_v0.2_query_b_baseline</x:v>
      </x:c>
      <x:c r="K7" s="24" t="str">
        <x:v>Claude proposed 10D auth/control query</x:v>
      </x:c>
      <x:c r="L7" s="31" t="str"/>
      <x:c r="M7" s="31" t="str"/>
      <x:c r="N7" s="31" t="str"/>
      <x:c r="O7" s="24" t="str"/>
      <x:c r="P7" s="43" t="str"/>
      <x:c r="Q7" s="44" t="str"/>
      <x:c r="R7" s="32" t="str"/>
      <x:c r="S7" s="24" t="str">
        <x:v>Analyst rated weak; needed substantial repair</x:v>
      </x:c>
      <x:c r="T7" s="24" t="str">
        <x:v>Main failure: breadth/morphology/Orbit expression</x:v>
      </x:c>
      <x:c r="U7" s="24" t="str">
        <x:v>REJECT</x:v>
      </x:c>
      <x:c r="V7" s="24" t="str">
        <x:v>Still source of first AI retrieval run</x:v>
      </x:c>
    </x:row>
    <x:row r="8">
      <x:c r="A8" s="24" t="str">
        <x:v>RUN-005A</x:v>
      </x:c>
      <x:c r="B8" s="30" t="n">
        <x:v>46277</x:v>
      </x:c>
      <x:c r="C8" s="24" t="str">
        <x:v>BC001</x:v>
      </x:c>
      <x:c r="D8" s="24" t="str">
        <x:v>0.1-provisional</x:v>
      </x:c>
      <x:c r="E8" s="24" t="str"/>
      <x:c r="F8" s="24" t="str"/>
      <x:c r="G8" s="24" t="str">
        <x:v>Execute initial Query B snapshot</x:v>
      </x:c>
      <x:c r="H8" s="24" t="str">
        <x:v>Retrieval Adapter</x:v>
      </x:c>
      <x:c r="I8" s="24" t="str"/>
      <x:c r="J8" s="24" t="str"/>
      <x:c r="K8" s="24" t="str">
        <x:v>3,091-family FAMPAT run; described as 10D</x:v>
      </x:c>
      <x:c r="L8" s="31"/>
      <x:c r="M8" s="31"/>
      <x:c r="N8" s="31"/>
      <x:c r="O8" s="24"/>
      <x:c r="P8" s="43"/>
      <x:c r="Q8" s="44"/>
      <x:c r="R8" s="32"/>
      <x:c r="S8" s="24" t="str">
        <x:v>No ordered export preserved</x:v>
      </x:c>
      <x:c r="T8" s="24" t="str">
        <x:v>Recovered 5/10 GOLD; historical diagnostic only</x:v>
      </x:c>
      <x:c r="U8" s="24" t="str">
        <x:v>SUPERSEDED</x:v>
      </x:c>
      <x:c r="V8" s="24" t="str">
        <x:v>Keep separate from 3,238 rerun</x:v>
      </x:c>
    </x:row>
    <x:row r="9">
      <x:c r="A9" s="24" t="str">
        <x:v>RUN-006</x:v>
      </x:c>
      <x:c r="B9" s="30" t="n">
        <x:v>46278</x:v>
      </x:c>
      <x:c r="C9" s="24" t="str">
        <x:v>BC001</x:v>
      </x:c>
      <x:c r="D9" s="24" t="str">
        <x:v>0.1-provisional</x:v>
      </x:c>
      <x:c r="E9" s="24" t="str"/>
      <x:c r="F9" s="24" t="str"/>
      <x:c r="G9" s="24" t="str">
        <x:v>Execute human Query A comparator</x:v>
      </x:c>
      <x:c r="H9" s="24" t="str">
        <x:v>Retrieval Adapter</x:v>
      </x:c>
      <x:c r="I9" s="24" t="str"/>
      <x:c r="J9" s="24" t="str"/>
      <x:c r="K9" s="24" t="str">
        <x:v>799 FAMPAT results; human-built query</x:v>
      </x:c>
      <x:c r="L9" s="31"/>
      <x:c r="M9" s="31"/>
      <x:c r="N9" s="31"/>
      <x:c r="O9" s="24"/>
      <x:c r="P9" s="43"/>
      <x:c r="Q9" s="44"/>
      <x:c r="R9" s="32"/>
      <x:c r="S9" s="24" t="str">
        <x:v>Field provenance inconsistent</x:v>
      </x:c>
      <x:c r="T9" s="24" t="str">
        <x:v>Recovered 6/10 GOLD</x:v>
      </x:c>
      <x:c r="U9" s="24" t="str">
        <x:v>BASELINE</x:v>
      </x:c>
      <x:c r="V9" s="24" t="str">
        <x:v>Comparator only</x:v>
      </x:c>
    </x:row>
    <x:row r="10">
      <x:c r="A10" s="24" t="str">
        <x:v>EXP-007</x:v>
      </x:c>
      <x:c r="B10" s="30" t="n">
        <x:v>46278</x:v>
      </x:c>
      <x:c r="C10" s="24" t="str">
        <x:v>BC001</x:v>
      </x:c>
      <x:c r="D10" s="24" t="str">
        <x:v>0.1-provisional</x:v>
      </x:c>
      <x:c r="E10" s="24" t="str"/>
      <x:c r="F10" s="24" t="str"/>
      <x:c r="G10" s="24" t="str">
        <x:v>Compare Query A vs B overlap/recovery</x:v>
      </x:c>
      <x:c r="H10" s="24" t="str">
        <x:v>Evaluation</x:v>
      </x:c>
      <x:c r="I10" s="24" t="str"/>
      <x:c r="J10" s="24" t="str"/>
      <x:c r="K10" s="24" t="str">
        <x:v>A∩B=142; A∪B=3,748</x:v>
      </x:c>
      <x:c r="L10" s="31"/>
      <x:c r="M10" s="31"/>
      <x:c r="N10" s="31"/>
      <x:c r="O10" s="24"/>
      <x:c r="P10" s="43"/>
      <x:c r="Q10" s="44"/>
      <x:c r="R10" s="32"/>
      <x:c r="S10" s="24" t="str">
        <x:v>Applies only to original snapshots</x:v>
      </x:c>
      <x:c r="T10" s="24" t="str">
        <x:v>Union recovered 7/10 GOLD</x:v>
      </x:c>
      <x:c r="U10" s="24" t="str">
        <x:v>DIAGNOSTIC</x:v>
      </x:c>
      <x:c r="V10" s="24" t="str">
        <x:v>Do not mix with 3,238 rerun</x:v>
      </x:c>
    </x:row>
    <x:row r="11">
      <x:c r="A11" s="24" t="str">
        <x:v>EXP-008</x:v>
      </x:c>
      <x:c r="B11" s="30" t="n">
        <x:v>46278</x:v>
      </x:c>
      <x:c r="C11" s="24" t="str">
        <x:v>BC001</x:v>
      </x:c>
      <x:c r="D11" s="24" t="str">
        <x:v>0.1-provisional</x:v>
      </x:c>
      <x:c r="E11" s="24" t="str"/>
      <x:c r="F11" s="24" t="str"/>
      <x:c r="G11" s="24" t="str">
        <x:v>Test seed-patent-grounded terminology</x:v>
      </x:c>
      <x:c r="H11" s="24" t="str">
        <x:v>Terminology Engine</x:v>
      </x:c>
      <x:c r="I11" s="24" t="str">
        <x:v>generic</x:v>
      </x:c>
      <x:c r="J11" s="24" t="str">
        <x:v>te_v0.3_seed_grounded_candidate</x:v>
      </x:c>
      <x:c r="K11" s="24" t="str">
        <x:v>Extracted P1–P12 terms from seed patents</x:v>
      </x:c>
      <x:c r="L11" s="31"/>
      <x:c r="M11" s="31"/>
      <x:c r="N11" s="31"/>
      <x:c r="O11" s="24"/>
      <x:c r="P11" s="43"/>
      <x:c r="Q11" s="44"/>
      <x:c r="R11" s="32"/>
      <x:c r="S11" s="24" t="str">
        <x:v>No controlled retrieval run</x:v>
      </x:c>
      <x:c r="T11" s="24" t="str">
        <x:v>Analyst preferred seed-patent terms over web/generic</x:v>
      </x:c>
      <x:c r="U11" s="24" t="str">
        <x:v>DIAGNOSTIC</x:v>
      </x:c>
      <x:c r="V11" s="24" t="str">
        <x:v>Best-supported terminology method; retrieval-unvalidated</x:v>
      </x:c>
    </x:row>
    <x:row r="12">
      <x:c r="A12" s="24" t="str">
        <x:v>EXP-009</x:v>
      </x:c>
      <x:c r="B12" s="30" t="n">
        <x:v>46278</x:v>
      </x:c>
      <x:c r="C12" s="24" t="str">
        <x:v>BC001</x:v>
      </x:c>
      <x:c r="D12" s="24" t="str">
        <x:v>0.1-provisional</x:v>
      </x:c>
      <x:c r="E12" s="24" t="str"/>
      <x:c r="F12" s="24" t="str"/>
      <x:c r="G12" s="24" t="str">
        <x:v>Test web-grounded terminology</x:v>
      </x:c>
      <x:c r="H12" s="24" t="str">
        <x:v>Terminology Engine</x:v>
      </x:c>
      <x:c r="I12" s="24" t="str">
        <x:v>generic</x:v>
      </x:c>
      <x:c r="J12" s="24" t="str">
        <x:v>te_v0.2_web</x:v>
      </x:c>
      <x:c r="K12" s="24" t="str">
        <x:v>Web-derived W1–W12 terms</x:v>
      </x:c>
      <x:c r="L12" s="31"/>
      <x:c r="M12" s="31"/>
      <x:c r="N12" s="31"/>
      <x:c r="O12" s="24"/>
      <x:c r="P12" s="43"/>
      <x:c r="Q12" s="44"/>
      <x:c r="R12" s="32"/>
      <x:c r="S12" s="24" t="str">
        <x:v>Several noisy/secondary terms</x:v>
      </x:c>
      <x:c r="T12" s="24" t="str">
        <x:v>Useful first-pass vocabulary, insufficient alone</x:v>
      </x:c>
      <x:c r="U12" s="24" t="str">
        <x:v>DIAGNOSTIC</x:v>
      </x:c>
      <x:c r="V12" s="24" t="str">
        <x:v>Not promoted</x:v>
      </x:c>
    </x:row>
    <x:row r="13">
      <x:c r="A13" s="24" t="str">
        <x:v>EXP-010</x:v>
      </x:c>
      <x:c r="B13" s="30" t="n">
        <x:v>46278</x:v>
      </x:c>
      <x:c r="C13" s="24" t="str">
        <x:v>BC001</x:v>
      </x:c>
      <x:c r="D13" s="24" t="str">
        <x:v>0.1-provisional</x:v>
      </x:c>
      <x:c r="E13" s="24" t="str"/>
      <x:c r="F13" s="24" t="str"/>
      <x:c r="G13" s="24" t="str">
        <x:v>Convert web terms into 5-query portfolio</x:v>
      </x:c>
      <x:c r="H13" s="24" t="str">
        <x:v>Query Planner</x:v>
      </x:c>
      <x:c r="I13" s="24" t="str"/>
      <x:c r="J13" s="24" t="str"/>
      <x:c r="K13" s="24" t="str">
        <x:v>Five Orbit-ready queries proposed</x:v>
      </x:c>
      <x:c r="L13" s="31"/>
      <x:c r="M13" s="31"/>
      <x:c r="N13" s="31"/>
      <x:c r="O13" s="24"/>
      <x:c r="P13" s="43"/>
      <x:c r="Q13" s="44"/>
      <x:c r="R13" s="32"/>
      <x:c r="S13" s="24" t="str">
        <x:v>Q1/Q2 major rebuild; syntax/proximity issues</x:v>
      </x:c>
      <x:c r="T13" s="24" t="str">
        <x:v>More terms did not solve planning/syntax</x:v>
      </x:c>
      <x:c r="U13" s="24" t="str">
        <x:v>REJECT</x:v>
      </x:c>
      <x:c r="V13" s="24" t="str">
        <x:v>Rejected</x:v>
      </x:c>
    </x:row>
    <x:row r="14">
      <x:c r="A14" s="24" t="str">
        <x:v>EXP-011</x:v>
      </x:c>
      <x:c r="B14" s="30" t="n">
        <x:v>46280</x:v>
      </x:c>
      <x:c r="C14" s="24" t="str">
        <x:v>BC001</x:v>
      </x:c>
      <x:c r="D14" s="24" t="str">
        <x:v>0.1-provisional</x:v>
      </x:c>
      <x:c r="E14" s="24" t="str"/>
      <x:c r="F14" s="24" t="str"/>
      <x:c r="G14" s="24" t="str">
        <x:v>Test evidence-assisted review on 20 analyst-selected patents</x:v>
      </x:c>
      <x:c r="H14" s="24" t="str">
        <x:v>Evidence Extractor</x:v>
      </x:c>
      <x:c r="I14" s="24" t="str"/>
      <x:c r="J14" s="24" t="str">
        <x:v>ee_v0.1_fulltext_passage_assist</x:v>
      </x:c>
      <x:c r="K14" s="24" t="str">
        <x:v>Full-text feature mapping + evidence citations</x:v>
      </x:c>
      <x:c r="L14" s="31"/>
      <x:c r="M14" s="31"/>
      <x:c r="N14" s="31"/>
      <x:c r="O14" s="24"/>
      <x:c r="P14" s="43"/>
      <x:c r="Q14" s="44" t="str">
        <x:v>10–15</x:v>
      </x:c>
      <x:c r="R14" s="32"/>
      <x:c r="S14" s="24" t="str">
        <x:v>Only 5 patents analyst-validated</x:v>
      </x:c>
      <x:c r="T14" s="24" t="str">
        <x:v>5/5 cited passages accepted; review time ~30 min → 10–15 min</x:v>
      </x:c>
      <x:c r="U14" s="24" t="str">
        <x:v>PARTIALLY_VALIDATED</x:v>
      </x:c>
      <x:c r="V14" s="24" t="str">
        <x:v>Most validated AI capability so far</x:v>
      </x:c>
    </x:row>
    <x:row r="15">
      <x:c r="A15" s="24" t="str">
        <x:v>RUN-012</x:v>
      </x:c>
      <x:c r="B15" s="30" t="n">
        <x:v>46281</x:v>
      </x:c>
      <x:c r="C15" s="24" t="str">
        <x:v>BC001</x:v>
      </x:c>
      <x:c r="D15" s="24" t="str">
        <x:v>0.1-provisional</x:v>
      </x:c>
      <x:c r="E15" s="24" t="str"/>
      <x:c r="F15" s="24" t="str"/>
      <x:c r="G15" s="24" t="str">
        <x:v>Create complete ordered reranking benchmark</x:v>
      </x:c>
      <x:c r="H15" s="24" t="str">
        <x:v>Retrieval Adapter</x:v>
      </x:c>
      <x:c r="I15" s="24" t="str"/>
      <x:c r="J15" s="24" t="str">
        <x:v>retrieval_v0.1_fampat_20260916_and_variant</x:v>
      </x:c>
      <x:c r="K15" s="24" t="str">
        <x:v>3,238-family FAMPAT export; AND variant</x:v>
      </x:c>
      <x:c r="L15" s="31" t="n">
        <x:v>0.2</x:v>
      </x:c>
      <x:c r="M15" s="31" t="n">
        <x:v>0.2</x:v>
      </x:c>
      <x:c r="N15" s="31"/>
      <x:c r="O15" s="24"/>
      <x:c r="P15" s="43" t="n">
        <x:v>492</x:v>
      </x:c>
      <x:c r="Q15" s="44"/>
      <x:c r="R15" s="32"/>
      <x:c r="S15" s="24" t="str">
        <x:v>4 GOLD absent; differs from initial 10D snapshot</x:v>
      </x:c>
      <x:c r="T15" s="24" t="str">
        <x:v>Full-set GOLD recovery 6/10</x:v>
      </x:c>
      <x:c r="U15" s="24" t="str">
        <x:v>BASELINE</x:v>
      </x:c>
      <x:c r="V15" s="24" t="str">
        <x:v>Current V0 retrieval baseline</x:v>
      </x:c>
    </x:row>
    <x:row r="16" ht="300" customHeight="1">
      <x:c r="A16" s="24" t="str">
        <x:v>EXP-013</x:v>
      </x:c>
      <x:c r="B16" s="30" t="n">
        <x:v>46281</x:v>
      </x:c>
      <x:c r="C16" s="24" t="str">
        <x:v>BC001</x:v>
      </x:c>
      <x:c r="D16" s="24" t="str">
        <x:v>0.1-provisional</x:v>
      </x:c>
      <x:c r="E16" s="24" t="str">
        <x:v>RUN-012</x:v>
      </x:c>
      <x:c r="F16" s="24" t="str">
        <x:v>rs_v0.2_blind_ta_rerank</x:v>
      </x:c>
      <x:c r="G16" s="24" t="str">
        <x:v>Test blind title/abstract reranking</x:v>
      </x:c>
      <x:c r="H16" s="24" t="str">
        <x:v>Relevance Scorer</x:v>
      </x:c>
      <x:c r="I16" s="24" t="str">
        <x:v>Orbit order</x:v>
      </x:c>
      <x:c r="J16" s="24" t="str">
        <x:v>rs_v0.2_blind_ta_rerank</x:v>
      </x:c>
      <x:c r="K16" s="24" t="str">
        <x:v>Blind rerank of all 3,238 families</x:v>
      </x:c>
      <x:c r="L16" s="31" t="n">
        <x:v>0.2</x:v>
      </x:c>
      <x:c r="M16" s="31" t="n">
        <x:v>0.4</x:v>
      </x:c>
      <x:c r="N16" s="51" t="n">
        <x:v>0.45</x:v>
      </x:c>
      <x:c r="O16" s="24"/>
      <x:c r="P16" s="43" t="n">
        <x:v>90.5</x:v>
      </x:c>
      <x:c r="Q16" s="44" t="str">
        <x:v>N/A</x:v>
      </x:c>
      <x:c r="R16" s="32"/>
      <x:c r="S16" s="24" t="str">
        <x:v>V0 top 20 not equivalently adjudicated; three analyst report-family pairs have different Questel FAN IDs; theft-triggered locking schema review pending</x:v>
      </x:c>
      <x:c r="T16" s="24" t="str">
        <x:v>Recall@100 2/10→4/10; median retrieved-GOLD rank 492→90.5</x:v>
      </x:c>
      <x:c r="U16" s="24" t="str">
        <x:v>HOLD</x:v>
      </x:c>
      <x:c r="V16" s="24" t="str">
        <x:v>PA-001 COMPLETED. HOLD / INCONCLUSIVE: V0 top 20 lacks equivalent adjudication. Newly adjudicated: 18 (7 Yes, 11 No), inclusion 7/18 = 38.9%. Publication Precision@20 incl. 2 GOLD: 9/20 = 45%. New analyst report groups: 15 (5 included, 10 excluded), yield 5/15 = 33.3%. Top-20 analyst report groups: 17 (7 included, 10 excluded), report-inclusion yield 7/17 = 41.2%. Net-new relevant-family yield and analyst minutes: N/A. Reconstructed mapping; unordered ranks 6/7 L/No ambiguity has no metric effect. No promotion.</x:v>
      </x:c>
    </x:row>
    <x:row r="17" ht="300" customHeight="1">
      <x:c r="A17" s="24" t="str">
        <x:v>EXP-014</x:v>
      </x:c>
      <x:c r="B17" s="30" t="n">
        <x:v>46281</x:v>
      </x:c>
      <x:c r="C17" s="24" t="str">
        <x:v>BC001</x:v>
      </x:c>
      <x:c r="D17" s="24" t="str">
        <x:v>0.1-provisional</x:v>
      </x:c>
      <x:c r="E17" s="24" t="str">
        <x:v>RUN-012 Orbit ordering of the 3,238-family export</x:v>
      </x:c>
      <x:c r="F17" s="24" t="str">
        <x:v>rs_v0.2_blind_ta_rerank</x:v>
      </x:c>
      <x:c r="G17" s="24" t="str">
        <x:v>V1 finds at least two more analyst-includable unique report-family groups in the first 20 publication slots than V0 while passing both recall guardrails</x:v>
      </x:c>
      <x:c r="H17" s="24" t="str">
        <x:v>Relevance Scorer</x:v>
      </x:c>
      <x:c r="I17" s="24" t="str">
        <x:v>RUN-012 Orbit ordering</x:v>
      </x:c>
      <x:c r="J17" s="24" t="str">
        <x:v>rs_v0.2_blind_ta_rerank (frozen EXP-013)</x:v>
      </x:c>
      <x:c r="K17" s="24" t="str">
        <x:v>ordering method; ranking evaluation; no model or system change</x:v>
      </x:c>
      <x:c r="L17" s="31" t="str">
        <x:v>N/A</x:v>
      </x:c>
      <x:c r="M17" s="31" t="str">
        <x:v>N/A</x:v>
      </x:c>
      <x:c r="N17" s="31" t="str">
        <x:v>N/A</x:v>
      </x:c>
      <x:c r="O17" s="24" t="str">
        <x:v>N/A</x:v>
      </x:c>
      <x:c r="P17" s="43" t="str">
        <x:v>N/A</x:v>
      </x:c>
      <x:c r="Q17" s="44" t="str">
        <x:v>N/A</x:v>
      </x:c>
      <x:c r="R17" s="32" t="str">
        <x:v>N/A</x:v>
      </x:c>
      <x:c r="S17" s="24" t="str">
        <x:v>V1 Recall@50 &gt;= V0 Recall@50; V1 Recall@100 &gt; V0 Recall@100. All rankings, universe, ground truth and family policy fixed.</x:v>
      </x:c>
      <x:c r="T17" s="24" t="str">
        <x:v>N/A pending adjudication</x:v>
      </x:c>
      <x:c r="U17" s="24" t="str">
        <x:v>AWAITING_ADJUDICATION</x:v>
      </x:c>
      <x:c r="V17" s="24" t="str">
        <x:v>PROMOTE if V1 has &gt;=2 more includable unique report-family groups and both recall guardrails pass; REJECT if V1 has fewer or violates either guardrail; HOLD if equal or one better (guardrails pass). 2 resolved, 18 unresolved; overlap 1; final metrics and review minutes N/A. No decision calculated.</x:v>
      </x:c>
    </x:row>
    <x:row r="18" ht="220" customHeight="1">
      <x:c r="A18" s="24" t="str">
        <x:v>EXP-015</x:v>
      </x:c>
      <x:c r="B18" s="30" t="n">
        <x:v>46282</x:v>
      </x:c>
      <x:c r="C18" s="24" t="str">
        <x:v>BC001</x:v>
      </x:c>
      <x:c r="D18" s="24" t="str">
        <x:v>0.1-provisional</x:v>
      </x:c>
      <x:c r="E18" s="24" t="str">
        <x:v>RUN-012 and intended same-session baseline</x:v>
      </x:c>
      <x:c r="F18" s="24" t="str">
        <x:v>Controlled 2x2 structure / vocabulary</x:v>
      </x:c>
      <x:c r="G18" s="24" t="str">
        <x:v>Record original feature-specific retrieval volume preflight</x:v>
      </x:c>
      <x:c r="H18" s="24" t="str">
        <x:v>Query Planner / Search Controller</x:v>
      </x:c>
      <x:c r="I18" s="24" t="str">
        <x:v>Current monolithic structure + current vocabulary</x:v>
      </x:c>
      <x:c r="J18" s="24" t="str">
        <x:v>Original EXP-015 2x2 design</x:v>
      </x:c>
      <x:c r="K18" s="24" t="str">
        <x:v>Analyst executed EXP015-015A-Q1/Q2; neither exported</x:v>
      </x:c>
      <x:c r="L18" s="31" t="str">
        <x:v>N/A</x:v>
      </x:c>
      <x:c r="M18" s="31" t="str">
        <x:v>N/A</x:v>
      </x:c>
      <x:c r="N18" s="31" t="str">
        <x:v>N/A</x:v>
      </x:c>
      <x:c r="O18" s="24" t="str">
        <x:v>N/A</x:v>
      </x:c>
      <x:c r="P18" s="43" t="str">
        <x:v>N/A</x:v>
      </x:c>
      <x:c r="Q18" s="44" t="str">
        <x:v>N/A</x:v>
      </x:c>
      <x:c r="R18" s="32" t="str">
        <x:v>N/A</x:v>
      </x:c>
      <x:c r="S18" s="24" t="str">
        <x:v>FAMPAT; TI/AB/CLMS; family-level; unchanged benchmark; no additional filters</x:v>
      </x:c>
      <x:c r="T18" s="24" t="str">
        <x:v>Q1 23,935 families; Q2 493,993 families. Broad document-level AND failed operational volume preflight.</x:v>
      </x:c>
      <x:c r="U18" s="24" t="str">
        <x:v>HOLD — DESIGN REVISION REQUIRED AFTER VOLUME PREFLIGHT</x:v>
      </x:c>
      <x:c r="V18" s="24" t="str">
        <x:v>Remaining queries paused; baseline not rerun. All final metrics N/A. No component promotion or wholesale rejection. Screenshots external; not supplied.</x:v>
      </x:c>
    </x:row>
    <x:row r="19" ht="70" customHeight="1">
      <x:c r="A19" s="52" t="str">
        <x:v>EXP-016A</x:v>
      </x:c>
      <x:c r="B19" s="60" t="n">
        <x:v>46282</x:v>
      </x:c>
      <x:c r="C19" s="52" t="str">
        <x:v>BC001</x:v>
      </x:c>
      <x:c r="D19" s="52" t="str">
        <x:v>0.1-provisional</x:v>
      </x:c>
      <x:c r="E19" s="52" t="str">
        <x:v>EXP-013 on RUN-012</x:v>
      </x:c>
      <x:c r="F19" s="52" t="str">
        <x:v>rs_v0.3_feature_aware_ta</x:v>
      </x:c>
      <x:c r="G19" s="52" t="str">
        <x:v>Feature-aware title/abstract reranking of the fixed 3238-family universe</x:v>
      </x:c>
      <x:c r="H19" s="52" t="str">
        <x:v>Relevance Scorer</x:v>
      </x:c>
      <x:c r="I19" s="52" t="str">
        <x:v>rs_v0.2_blind_ta_rerank</x:v>
      </x:c>
      <x:c r="J19" s="52" t="str">
        <x:v>rs_v0.3_feature_aware_ta</x:v>
      </x:c>
      <x:c r="K19" s="52" t="str">
        <x:v>Deterministic feature/relationship extraction and approved scoring formula</x:v>
      </x:c>
      <x:c r="L19" s="54" t="n">
        <x:v>0.2</x:v>
      </x:c>
      <x:c r="M19" s="54" t="n">
        <x:v>0.3</x:v>
      </x:c>
      <x:c r="N19" s="54" t="str">
        <x:v>N/A</x:v>
      </x:c>
      <x:c r="O19" s="52" t="str">
        <x:v>N/A</x:v>
      </x:c>
      <x:c r="P19" s="61" t="n">
        <x:v>142.5</x:v>
      </x:c>
      <x:c r="Q19" s="62" t="str">
        <x:v>N/A</x:v>
      </x:c>
      <x:c r="R19" s="63" t="str">
        <x:v>N/A</x:v>
      </x:c>
      <x:c r="S19" s="52" t="str">
        <x:v>Recall@20 1/10 fails 2/10 guardrail; Recall@200 3/10; median worsens &gt;10%</x:v>
      </x:c>
      <x:c r="T19" s="52" t="str">
        <x:v>Determinism did not improve retrieval ordering of known GOLD; rule extraction needs separate evaluation</x:v>
      </x:c>
      <x:c r="U19" s="52" t="str">
        <x:v>REJECT</x:v>
      </x:c>
      <x:c r="V19" s="52" t="str">
        <x:v>Frozen before private evaluation. Six GOLD mappings exact in reconstructed key. Challenger only; CURRENT_SYSTEM unchanged.</x:v>
      </x:c>
    </x:row>
    <x:row r="20">
      <x:c r="A20" s="24"/>
      <x:c r="B20" s="30"/>
      <x:c r="C20" s="24"/>
      <x:c r="D20" s="24"/>
      <x:c r="E20" s="24"/>
      <x:c r="F20" s="24"/>
      <x:c r="G20" s="24"/>
      <x:c r="H20" s="24"/>
      <x:c r="I20" s="24"/>
      <x:c r="J20" s="24"/>
      <x:c r="K20" s="24"/>
      <x:c r="L20" s="31"/>
      <x:c r="M20" s="31"/>
      <x:c r="N20" s="31"/>
      <x:c r="O20" s="24"/>
      <x:c r="P20" s="43"/>
      <x:c r="Q20" s="44"/>
      <x:c r="R20" s="32"/>
      <x:c r="S20" s="24"/>
      <x:c r="T20" s="24"/>
      <x:c r="U20" s="24"/>
      <x:c r="V20" s="24"/>
    </x:row>
    <x:row r="21">
      <x:c r="A21" s="24"/>
      <x:c r="B21" s="30"/>
      <x:c r="C21" s="24"/>
      <x:c r="D21" s="24"/>
      <x:c r="E21" s="24"/>
      <x:c r="F21" s="24"/>
      <x:c r="G21" s="24"/>
      <x:c r="H21" s="24"/>
      <x:c r="I21" s="24"/>
      <x:c r="J21" s="24"/>
      <x:c r="K21" s="24"/>
      <x:c r="L21" s="31"/>
      <x:c r="M21" s="31"/>
      <x:c r="N21" s="31"/>
      <x:c r="O21" s="24"/>
      <x:c r="P21" s="43"/>
      <x:c r="Q21" s="44"/>
      <x:c r="R21" s="32"/>
      <x:c r="S21" s="24"/>
      <x:c r="T21" s="24"/>
      <x:c r="U21" s="24"/>
      <x:c r="V21" s="24"/>
    </x:row>
    <x:row r="22">
      <x:c r="A22" s="24"/>
      <x:c r="B22" s="30"/>
      <x:c r="C22" s="24"/>
      <x:c r="D22" s="24"/>
      <x:c r="E22" s="24"/>
      <x:c r="F22" s="24"/>
      <x:c r="G22" s="24"/>
      <x:c r="H22" s="24"/>
      <x:c r="I22" s="24"/>
      <x:c r="J22" s="24"/>
      <x:c r="K22" s="24"/>
      <x:c r="L22" s="31"/>
      <x:c r="M22" s="31"/>
      <x:c r="N22" s="31"/>
      <x:c r="O22" s="24"/>
      <x:c r="P22" s="43"/>
      <x:c r="Q22" s="44"/>
      <x:c r="R22" s="32"/>
      <x:c r="S22" s="24"/>
      <x:c r="T22" s="24"/>
      <x:c r="U22" s="24"/>
      <x:c r="V22" s="24"/>
    </x:row>
    <x:row r="23">
      <x:c r="A23" s="24"/>
      <x:c r="B23" s="30"/>
      <x:c r="C23" s="24"/>
      <x:c r="D23" s="24"/>
      <x:c r="E23" s="24"/>
      <x:c r="F23" s="24"/>
      <x:c r="G23" s="24"/>
      <x:c r="H23" s="24"/>
      <x:c r="I23" s="24"/>
      <x:c r="J23" s="24"/>
      <x:c r="K23" s="24"/>
      <x:c r="L23" s="31"/>
      <x:c r="M23" s="31"/>
      <x:c r="N23" s="31"/>
      <x:c r="O23" s="24"/>
      <x:c r="P23" s="43"/>
      <x:c r="Q23" s="44"/>
      <x:c r="R23" s="32"/>
      <x:c r="S23" s="24"/>
      <x:c r="T23" s="24"/>
      <x:c r="U23" s="24"/>
      <x:c r="V23" s="24"/>
    </x:row>
    <x:row r="24">
      <x:c r="A24" s="24"/>
      <x:c r="B24" s="30"/>
      <x:c r="C24" s="24"/>
      <x:c r="D24" s="24"/>
      <x:c r="E24" s="24"/>
      <x:c r="F24" s="24"/>
      <x:c r="G24" s="24"/>
      <x:c r="H24" s="24"/>
      <x:c r="I24" s="24"/>
      <x:c r="J24" s="24"/>
      <x:c r="K24" s="24"/>
      <x:c r="L24" s="31"/>
      <x:c r="M24" s="31"/>
      <x:c r="N24" s="31"/>
      <x:c r="O24" s="24"/>
      <x:c r="P24" s="43"/>
      <x:c r="Q24" s="44"/>
      <x:c r="R24" s="32"/>
      <x:c r="S24" s="24"/>
      <x:c r="T24" s="24"/>
      <x:c r="U24" s="24"/>
      <x:c r="V24" s="24"/>
    </x:row>
    <x:row r="25">
      <x:c r="A25" s="24"/>
      <x:c r="B25" s="30"/>
      <x:c r="C25" s="24"/>
      <x:c r="D25" s="24"/>
      <x:c r="E25" s="24"/>
      <x:c r="F25" s="24"/>
      <x:c r="G25" s="24"/>
      <x:c r="H25" s="24"/>
      <x:c r="I25" s="24"/>
      <x:c r="J25" s="24"/>
      <x:c r="K25" s="24"/>
      <x:c r="L25" s="31"/>
      <x:c r="M25" s="31"/>
      <x:c r="N25" s="31"/>
      <x:c r="O25" s="24"/>
      <x:c r="P25" s="43"/>
      <x:c r="Q25" s="44"/>
      <x:c r="R25" s="32"/>
      <x:c r="S25" s="24"/>
      <x:c r="T25" s="24"/>
      <x:c r="U25" s="24"/>
      <x:c r="V25" s="24"/>
    </x:row>
    <x:row r="26">
      <x:c r="A26" s="24"/>
      <x:c r="B26" s="30"/>
      <x:c r="C26" s="24"/>
      <x:c r="D26" s="24"/>
      <x:c r="E26" s="24"/>
      <x:c r="F26" s="24"/>
      <x:c r="G26" s="24"/>
      <x:c r="H26" s="24"/>
      <x:c r="I26" s="24"/>
      <x:c r="J26" s="24"/>
      <x:c r="K26" s="24"/>
      <x:c r="L26" s="31"/>
      <x:c r="M26" s="31"/>
      <x:c r="N26" s="31"/>
      <x:c r="O26" s="24"/>
      <x:c r="P26" s="43"/>
      <x:c r="Q26" s="44"/>
      <x:c r="R26" s="32"/>
      <x:c r="S26" s="24"/>
      <x:c r="T26" s="24"/>
      <x:c r="U26" s="24"/>
      <x:c r="V26" s="24"/>
    </x:row>
    <x:row r="27">
      <x:c r="A27" s="24"/>
      <x:c r="B27" s="30"/>
      <x:c r="C27" s="24"/>
      <x:c r="D27" s="24"/>
      <x:c r="E27" s="24"/>
      <x:c r="F27" s="24"/>
      <x:c r="G27" s="24"/>
      <x:c r="H27" s="24"/>
      <x:c r="I27" s="24"/>
      <x:c r="J27" s="24"/>
      <x:c r="K27" s="24"/>
      <x:c r="L27" s="31"/>
      <x:c r="M27" s="31"/>
      <x:c r="N27" s="31"/>
      <x:c r="O27" s="24"/>
      <x:c r="P27" s="43"/>
      <x:c r="Q27" s="44"/>
      <x:c r="R27" s="32"/>
      <x:c r="S27" s="24"/>
      <x:c r="T27" s="24"/>
      <x:c r="U27" s="24"/>
      <x:c r="V27" s="24"/>
    </x:row>
    <x:row r="28">
      <x:c r="A28" s="24"/>
      <x:c r="B28" s="30"/>
      <x:c r="C28" s="24"/>
      <x:c r="D28" s="24"/>
      <x:c r="E28" s="24"/>
      <x:c r="F28" s="24"/>
      <x:c r="G28" s="24"/>
      <x:c r="H28" s="24"/>
      <x:c r="I28" s="24"/>
      <x:c r="J28" s="24"/>
      <x:c r="K28" s="24"/>
      <x:c r="L28" s="31"/>
      <x:c r="M28" s="31"/>
      <x:c r="N28" s="31"/>
      <x:c r="O28" s="24"/>
      <x:c r="P28" s="43"/>
      <x:c r="Q28" s="44"/>
      <x:c r="R28" s="32"/>
      <x:c r="S28" s="24"/>
      <x:c r="T28" s="24"/>
      <x:c r="U28" s="24"/>
      <x:c r="V28" s="24"/>
    </x:row>
    <x:row r="29">
      <x:c r="A29" s="24"/>
      <x:c r="B29" s="30"/>
      <x:c r="C29" s="24"/>
      <x:c r="D29" s="24"/>
      <x:c r="E29" s="24"/>
      <x:c r="F29" s="24"/>
      <x:c r="G29" s="24"/>
      <x:c r="H29" s="24"/>
      <x:c r="I29" s="24"/>
      <x:c r="J29" s="24"/>
      <x:c r="K29" s="24"/>
      <x:c r="L29" s="31"/>
      <x:c r="M29" s="31"/>
      <x:c r="N29" s="31"/>
      <x:c r="O29" s="24"/>
      <x:c r="P29" s="43"/>
      <x:c r="Q29" s="44"/>
      <x:c r="R29" s="32"/>
      <x:c r="S29" s="24"/>
      <x:c r="T29" s="24"/>
      <x:c r="U29" s="24"/>
      <x:c r="V29" s="24"/>
    </x:row>
    <x:row r="30">
      <x:c r="A30" s="24"/>
      <x:c r="B30" s="30"/>
      <x:c r="C30" s="24"/>
      <x:c r="D30" s="24"/>
      <x:c r="E30" s="24"/>
      <x:c r="F30" s="24"/>
      <x:c r="G30" s="24"/>
      <x:c r="H30" s="24"/>
      <x:c r="I30" s="24"/>
      <x:c r="J30" s="24"/>
      <x:c r="K30" s="24"/>
      <x:c r="L30" s="31"/>
      <x:c r="M30" s="31"/>
      <x:c r="N30" s="31"/>
      <x:c r="O30" s="24"/>
      <x:c r="P30" s="43"/>
      <x:c r="Q30" s="44"/>
      <x:c r="R30" s="32"/>
      <x:c r="S30" s="24"/>
      <x:c r="T30" s="24"/>
      <x:c r="U30" s="24"/>
      <x:c r="V30" s="24"/>
    </x:row>
    <x:row r="31">
      <x:c r="A31" s="24"/>
      <x:c r="B31" s="30"/>
      <x:c r="C31" s="24"/>
      <x:c r="D31" s="24"/>
      <x:c r="E31" s="24"/>
      <x:c r="F31" s="24"/>
      <x:c r="G31" s="24"/>
      <x:c r="H31" s="24"/>
      <x:c r="I31" s="24"/>
      <x:c r="J31" s="24"/>
      <x:c r="K31" s="24"/>
      <x:c r="L31" s="31"/>
      <x:c r="M31" s="31"/>
      <x:c r="N31" s="31"/>
      <x:c r="O31" s="24"/>
      <x:c r="P31" s="43"/>
      <x:c r="Q31" s="44"/>
      <x:c r="R31" s="32"/>
      <x:c r="S31" s="24"/>
      <x:c r="T31" s="24"/>
      <x:c r="U31" s="24"/>
      <x:c r="V31" s="24"/>
    </x:row>
    <x:row r="32">
      <x:c r="A32" s="24"/>
      <x:c r="B32" s="30"/>
      <x:c r="C32" s="24"/>
      <x:c r="D32" s="24"/>
      <x:c r="E32" s="24"/>
      <x:c r="F32" s="24"/>
      <x:c r="G32" s="24"/>
      <x:c r="H32" s="24"/>
      <x:c r="I32" s="24"/>
      <x:c r="J32" s="24"/>
      <x:c r="K32" s="24"/>
      <x:c r="L32" s="31"/>
      <x:c r="M32" s="31"/>
      <x:c r="N32" s="31"/>
      <x:c r="O32" s="24"/>
      <x:c r="P32" s="43"/>
      <x:c r="Q32" s="44"/>
      <x:c r="R32" s="32"/>
      <x:c r="S32" s="24"/>
      <x:c r="T32" s="24"/>
      <x:c r="U32" s="24"/>
      <x:c r="V32" s="24"/>
    </x:row>
    <x:row r="33">
      <x:c r="A33" s="24"/>
      <x:c r="B33" s="30"/>
      <x:c r="C33" s="24"/>
      <x:c r="D33" s="24"/>
      <x:c r="E33" s="24"/>
      <x:c r="F33" s="24"/>
      <x:c r="G33" s="24"/>
      <x:c r="H33" s="24"/>
      <x:c r="I33" s="24"/>
      <x:c r="J33" s="24"/>
      <x:c r="K33" s="24"/>
      <x:c r="L33" s="31"/>
      <x:c r="M33" s="31"/>
      <x:c r="N33" s="31"/>
      <x:c r="O33" s="24"/>
      <x:c r="P33" s="43"/>
      <x:c r="Q33" s="44"/>
      <x:c r="R33" s="32"/>
      <x:c r="S33" s="24"/>
      <x:c r="T33" s="24"/>
      <x:c r="U33" s="24"/>
      <x:c r="V33" s="24"/>
    </x:row>
    <x:row r="34">
      <x:c r="A34" s="24"/>
      <x:c r="B34" s="30"/>
      <x:c r="C34" s="24"/>
      <x:c r="D34" s="24"/>
      <x:c r="E34" s="24"/>
      <x:c r="F34" s="24"/>
      <x:c r="G34" s="24"/>
      <x:c r="H34" s="24"/>
      <x:c r="I34" s="24"/>
      <x:c r="J34" s="24"/>
      <x:c r="K34" s="24"/>
      <x:c r="L34" s="31"/>
      <x:c r="M34" s="31"/>
      <x:c r="N34" s="31"/>
      <x:c r="O34" s="24"/>
      <x:c r="P34" s="43"/>
      <x:c r="Q34" s="44"/>
      <x:c r="R34" s="32"/>
      <x:c r="S34" s="24"/>
      <x:c r="T34" s="24"/>
      <x:c r="U34" s="24"/>
      <x:c r="V34" s="24"/>
    </x:row>
    <x:row r="35">
      <x:c r="A35" s="24"/>
      <x:c r="B35" s="30"/>
      <x:c r="C35" s="24"/>
      <x:c r="D35" s="24"/>
      <x:c r="E35" s="24"/>
      <x:c r="F35" s="24"/>
      <x:c r="G35" s="24"/>
      <x:c r="H35" s="24"/>
      <x:c r="I35" s="24"/>
      <x:c r="J35" s="24"/>
      <x:c r="K35" s="24"/>
      <x:c r="L35" s="31"/>
      <x:c r="M35" s="31"/>
      <x:c r="N35" s="31"/>
      <x:c r="O35" s="24"/>
      <x:c r="P35" s="43"/>
      <x:c r="Q35" s="44"/>
      <x:c r="R35" s="32"/>
      <x:c r="S35" s="24"/>
      <x:c r="T35" s="24"/>
      <x:c r="U35" s="24"/>
      <x:c r="V35" s="24"/>
    </x:row>
    <x:row r="36">
      <x:c r="A36" s="24"/>
      <x:c r="B36" s="30"/>
      <x:c r="C36" s="24"/>
      <x:c r="D36" s="24"/>
      <x:c r="E36" s="24"/>
      <x:c r="F36" s="24"/>
      <x:c r="G36" s="24"/>
      <x:c r="H36" s="24"/>
      <x:c r="I36" s="24"/>
      <x:c r="J36" s="24"/>
      <x:c r="K36" s="24"/>
      <x:c r="L36" s="31"/>
      <x:c r="M36" s="31"/>
      <x:c r="N36" s="31"/>
      <x:c r="O36" s="24"/>
      <x:c r="P36" s="43"/>
      <x:c r="Q36" s="44"/>
      <x:c r="R36" s="32"/>
      <x:c r="S36" s="24"/>
      <x:c r="T36" s="24"/>
      <x:c r="U36" s="24"/>
      <x:c r="V36" s="24"/>
    </x:row>
    <x:row r="37">
      <x:c r="A37" s="24"/>
      <x:c r="B37" s="30"/>
      <x:c r="C37" s="24"/>
      <x:c r="D37" s="24"/>
      <x:c r="E37" s="24"/>
      <x:c r="F37" s="24"/>
      <x:c r="G37" s="24"/>
      <x:c r="H37" s="24"/>
      <x:c r="I37" s="24"/>
      <x:c r="J37" s="24"/>
      <x:c r="K37" s="24"/>
      <x:c r="L37" s="31"/>
      <x:c r="M37" s="31"/>
      <x:c r="N37" s="31"/>
      <x:c r="O37" s="24"/>
      <x:c r="P37" s="43"/>
      <x:c r="Q37" s="44"/>
      <x:c r="R37" s="32"/>
      <x:c r="S37" s="24"/>
      <x:c r="T37" s="24"/>
      <x:c r="U37" s="24"/>
      <x:c r="V37" s="24"/>
    </x:row>
    <x:row r="38">
      <x:c r="A38" s="24"/>
      <x:c r="B38" s="30"/>
      <x:c r="C38" s="24"/>
      <x:c r="D38" s="24"/>
      <x:c r="E38" s="24"/>
      <x:c r="F38" s="24"/>
      <x:c r="G38" s="24"/>
      <x:c r="H38" s="24"/>
      <x:c r="I38" s="24"/>
      <x:c r="J38" s="24"/>
      <x:c r="K38" s="24"/>
      <x:c r="L38" s="31"/>
      <x:c r="M38" s="31"/>
      <x:c r="N38" s="31"/>
      <x:c r="O38" s="24"/>
      <x:c r="P38" s="43"/>
      <x:c r="Q38" s="44"/>
      <x:c r="R38" s="32"/>
      <x:c r="S38" s="24"/>
      <x:c r="T38" s="24"/>
      <x:c r="U38" s="24"/>
      <x:c r="V38" s="24"/>
    </x:row>
    <x:row r="39">
      <x:c r="A39" s="24"/>
      <x:c r="B39" s="30"/>
      <x:c r="C39" s="24"/>
      <x:c r="D39" s="24"/>
      <x:c r="E39" s="24"/>
      <x:c r="F39" s="24"/>
      <x:c r="G39" s="24"/>
      <x:c r="H39" s="24"/>
      <x:c r="I39" s="24"/>
      <x:c r="J39" s="24"/>
      <x:c r="K39" s="24"/>
      <x:c r="L39" s="31"/>
      <x:c r="M39" s="31"/>
      <x:c r="N39" s="31"/>
      <x:c r="O39" s="24"/>
      <x:c r="P39" s="43"/>
      <x:c r="Q39" s="44"/>
      <x:c r="R39" s="32"/>
      <x:c r="S39" s="24"/>
      <x:c r="T39" s="24"/>
      <x:c r="U39" s="24"/>
      <x:c r="V39" s="24"/>
    </x:row>
    <x:row r="40">
      <x:c r="A40" s="24"/>
      <x:c r="B40" s="30"/>
      <x:c r="C40" s="24"/>
      <x:c r="D40" s="24"/>
      <x:c r="E40" s="24"/>
      <x:c r="F40" s="24"/>
      <x:c r="G40" s="24"/>
      <x:c r="H40" s="24"/>
      <x:c r="I40" s="24"/>
      <x:c r="J40" s="24"/>
      <x:c r="K40" s="24"/>
      <x:c r="L40" s="31"/>
      <x:c r="M40" s="31"/>
      <x:c r="N40" s="31"/>
      <x:c r="O40" s="24"/>
      <x:c r="P40" s="43"/>
      <x:c r="Q40" s="44"/>
      <x:c r="R40" s="32"/>
      <x:c r="S40" s="24"/>
      <x:c r="T40" s="24"/>
      <x:c r="U40" s="24"/>
      <x:c r="V40" s="24"/>
    </x:row>
    <x:row r="41">
      <x:c r="A41" s="24"/>
      <x:c r="B41" s="30"/>
      <x:c r="C41" s="24"/>
      <x:c r="D41" s="24"/>
      <x:c r="E41" s="24"/>
      <x:c r="F41" s="24"/>
      <x:c r="G41" s="24"/>
      <x:c r="H41" s="24"/>
      <x:c r="I41" s="24"/>
      <x:c r="J41" s="24"/>
      <x:c r="K41" s="24"/>
      <x:c r="L41" s="31"/>
      <x:c r="M41" s="31"/>
      <x:c r="N41" s="31"/>
      <x:c r="O41" s="24"/>
      <x:c r="P41" s="43"/>
      <x:c r="Q41" s="44"/>
      <x:c r="R41" s="32"/>
      <x:c r="S41" s="24"/>
      <x:c r="T41" s="24"/>
      <x:c r="U41" s="24"/>
      <x:c r="V41" s="24"/>
    </x:row>
    <x:row r="42">
      <x:c r="A42" s="24"/>
      <x:c r="B42" s="30"/>
      <x:c r="C42" s="24"/>
      <x:c r="D42" s="24"/>
      <x:c r="E42" s="24"/>
      <x:c r="F42" s="24"/>
      <x:c r="G42" s="24"/>
      <x:c r="H42" s="24"/>
      <x:c r="I42" s="24"/>
      <x:c r="J42" s="24"/>
      <x:c r="K42" s="24"/>
      <x:c r="L42" s="31"/>
      <x:c r="M42" s="31"/>
      <x:c r="N42" s="31"/>
      <x:c r="O42" s="24"/>
      <x:c r="P42" s="43"/>
      <x:c r="Q42" s="44"/>
      <x:c r="R42" s="32"/>
      <x:c r="S42" s="24"/>
      <x:c r="T42" s="24"/>
      <x:c r="U42" s="24"/>
      <x:c r="V42" s="24"/>
    </x:row>
    <x:row r="43">
      <x:c r="A43" s="24"/>
      <x:c r="B43" s="30"/>
      <x:c r="C43" s="24"/>
      <x:c r="D43" s="24"/>
      <x:c r="E43" s="24"/>
      <x:c r="F43" s="24"/>
      <x:c r="G43" s="24"/>
      <x:c r="H43" s="24"/>
      <x:c r="I43" s="24"/>
      <x:c r="J43" s="24"/>
      <x:c r="K43" s="24"/>
      <x:c r="L43" s="31"/>
      <x:c r="M43" s="31"/>
      <x:c r="N43" s="31"/>
      <x:c r="O43" s="24"/>
      <x:c r="P43" s="43"/>
      <x:c r="Q43" s="44"/>
      <x:c r="R43" s="32"/>
      <x:c r="S43" s="24"/>
      <x:c r="T43" s="24"/>
      <x:c r="U43" s="24"/>
      <x:c r="V43" s="24"/>
    </x:row>
    <x:row r="44">
      <x:c r="A44" s="24"/>
      <x:c r="B44" s="30"/>
      <x:c r="C44" s="24"/>
      <x:c r="D44" s="24"/>
      <x:c r="E44" s="24"/>
      <x:c r="F44" s="24"/>
      <x:c r="G44" s="24"/>
      <x:c r="H44" s="24"/>
      <x:c r="I44" s="24"/>
      <x:c r="J44" s="24"/>
      <x:c r="K44" s="24"/>
      <x:c r="L44" s="31"/>
      <x:c r="M44" s="31"/>
      <x:c r="N44" s="31"/>
      <x:c r="O44" s="24"/>
      <x:c r="P44" s="43"/>
      <x:c r="Q44" s="44"/>
      <x:c r="R44" s="32"/>
      <x:c r="S44" s="24"/>
      <x:c r="T44" s="24"/>
      <x:c r="U44" s="24"/>
      <x:c r="V44" s="24"/>
    </x:row>
    <x:row r="45">
      <x:c r="A45" s="24"/>
      <x:c r="B45" s="30"/>
      <x:c r="C45" s="24"/>
      <x:c r="D45" s="24"/>
      <x:c r="E45" s="24"/>
      <x:c r="F45" s="24"/>
      <x:c r="G45" s="24"/>
      <x:c r="H45" s="24"/>
      <x:c r="I45" s="24"/>
      <x:c r="J45" s="24"/>
      <x:c r="K45" s="24"/>
      <x:c r="L45" s="31"/>
      <x:c r="M45" s="31"/>
      <x:c r="N45" s="31"/>
      <x:c r="O45" s="24"/>
      <x:c r="P45" s="43"/>
      <x:c r="Q45" s="44"/>
      <x:c r="R45" s="32"/>
      <x:c r="S45" s="24"/>
      <x:c r="T45" s="24"/>
      <x:c r="U45" s="24"/>
      <x:c r="V45" s="24"/>
    </x:row>
    <x:row r="46">
      <x:c r="A46" s="24"/>
      <x:c r="B46" s="30"/>
      <x:c r="C46" s="24"/>
      <x:c r="D46" s="24"/>
      <x:c r="E46" s="24"/>
      <x:c r="F46" s="24"/>
      <x:c r="G46" s="24"/>
      <x:c r="H46" s="24"/>
      <x:c r="I46" s="24"/>
      <x:c r="J46" s="24"/>
      <x:c r="K46" s="24"/>
      <x:c r="L46" s="31"/>
      <x:c r="M46" s="31"/>
      <x:c r="N46" s="31"/>
      <x:c r="O46" s="24"/>
      <x:c r="P46" s="43"/>
      <x:c r="Q46" s="44"/>
      <x:c r="R46" s="32"/>
      <x:c r="S46" s="24"/>
      <x:c r="T46" s="24"/>
      <x:c r="U46" s="24"/>
      <x:c r="V46" s="24"/>
    </x:row>
    <x:row r="47">
      <x:c r="A47" s="24"/>
      <x:c r="B47" s="30"/>
      <x:c r="C47" s="24"/>
      <x:c r="D47" s="24"/>
      <x:c r="E47" s="24"/>
      <x:c r="F47" s="24"/>
      <x:c r="G47" s="24"/>
      <x:c r="H47" s="24"/>
      <x:c r="I47" s="24"/>
      <x:c r="J47" s="24"/>
      <x:c r="K47" s="24"/>
      <x:c r="L47" s="31"/>
      <x:c r="M47" s="31"/>
      <x:c r="N47" s="31"/>
      <x:c r="O47" s="24"/>
      <x:c r="P47" s="43"/>
      <x:c r="Q47" s="44"/>
      <x:c r="R47" s="32"/>
      <x:c r="S47" s="24"/>
      <x:c r="T47" s="24"/>
      <x:c r="U47" s="24"/>
      <x:c r="V47" s="24"/>
    </x:row>
    <x:row r="48">
      <x:c r="A48" s="24"/>
      <x:c r="B48" s="30"/>
      <x:c r="C48" s="24"/>
      <x:c r="D48" s="24"/>
      <x:c r="E48" s="24"/>
      <x:c r="F48" s="24"/>
      <x:c r="G48" s="24"/>
      <x:c r="H48" s="24"/>
      <x:c r="I48" s="24"/>
      <x:c r="J48" s="24"/>
      <x:c r="K48" s="24"/>
      <x:c r="L48" s="31"/>
      <x:c r="M48" s="31"/>
      <x:c r="N48" s="31"/>
      <x:c r="O48" s="24"/>
      <x:c r="P48" s="43"/>
      <x:c r="Q48" s="44"/>
      <x:c r="R48" s="32"/>
      <x:c r="S48" s="24"/>
      <x:c r="T48" s="24"/>
      <x:c r="U48" s="24"/>
      <x:c r="V48" s="24"/>
    </x:row>
    <x:row r="49">
      <x:c r="A49" s="24"/>
      <x:c r="B49" s="30"/>
      <x:c r="C49" s="24"/>
      <x:c r="D49" s="24"/>
      <x:c r="E49" s="24"/>
      <x:c r="F49" s="24"/>
      <x:c r="G49" s="24"/>
      <x:c r="H49" s="24"/>
      <x:c r="I49" s="24"/>
      <x:c r="J49" s="24"/>
      <x:c r="K49" s="24"/>
      <x:c r="L49" s="31"/>
      <x:c r="M49" s="31"/>
      <x:c r="N49" s="31"/>
      <x:c r="O49" s="24"/>
      <x:c r="P49" s="43"/>
      <x:c r="Q49" s="44"/>
      <x:c r="R49" s="32"/>
      <x:c r="S49" s="24"/>
      <x:c r="T49" s="24"/>
      <x:c r="U49" s="24"/>
      <x:c r="V49" s="24"/>
    </x:row>
    <x:row r="50">
      <x:c r="A50" s="24"/>
      <x:c r="B50" s="30"/>
      <x:c r="C50" s="24"/>
      <x:c r="D50" s="24"/>
      <x:c r="E50" s="24"/>
      <x:c r="F50" s="24"/>
      <x:c r="G50" s="24"/>
      <x:c r="H50" s="24"/>
      <x:c r="I50" s="24"/>
      <x:c r="J50" s="24"/>
      <x:c r="K50" s="24"/>
      <x:c r="L50" s="31"/>
      <x:c r="M50" s="31"/>
      <x:c r="N50" s="31"/>
      <x:c r="O50" s="24"/>
      <x:c r="P50" s="43"/>
      <x:c r="Q50" s="44"/>
      <x:c r="R50" s="32"/>
      <x:c r="S50" s="24"/>
      <x:c r="T50" s="24"/>
      <x:c r="U50" s="24"/>
      <x:c r="V50" s="24"/>
    </x:row>
    <x:row r="51">
      <x:c r="A51" s="24"/>
      <x:c r="B51" s="30"/>
      <x:c r="C51" s="24"/>
      <x:c r="D51" s="24"/>
      <x:c r="E51" s="24"/>
      <x:c r="F51" s="24"/>
      <x:c r="G51" s="24"/>
      <x:c r="H51" s="24"/>
      <x:c r="I51" s="24"/>
      <x:c r="J51" s="24"/>
      <x:c r="K51" s="24"/>
      <x:c r="L51" s="31"/>
      <x:c r="M51" s="31"/>
      <x:c r="N51" s="31"/>
      <x:c r="O51" s="24"/>
      <x:c r="P51" s="43"/>
      <x:c r="Q51" s="44"/>
      <x:c r="R51" s="32"/>
      <x:c r="S51" s="24"/>
      <x:c r="T51" s="24"/>
      <x:c r="U51" s="24"/>
      <x:c r="V51" s="24"/>
    </x:row>
    <x:row r="52">
      <x:c r="A52" s="24"/>
      <x:c r="B52" s="30"/>
      <x:c r="C52" s="24"/>
      <x:c r="D52" s="24"/>
      <x:c r="E52" s="24"/>
      <x:c r="F52" s="24"/>
      <x:c r="G52" s="24"/>
      <x:c r="H52" s="24"/>
      <x:c r="I52" s="24"/>
      <x:c r="J52" s="24"/>
      <x:c r="K52" s="24"/>
      <x:c r="L52" s="31"/>
      <x:c r="M52" s="31"/>
      <x:c r="N52" s="31"/>
      <x:c r="O52" s="24"/>
      <x:c r="P52" s="43"/>
      <x:c r="Q52" s="44"/>
      <x:c r="R52" s="32"/>
      <x:c r="S52" s="24"/>
      <x:c r="T52" s="24"/>
      <x:c r="U52" s="24"/>
      <x:c r="V52" s="24"/>
    </x:row>
    <x:row r="53">
      <x:c r="A53" s="24"/>
      <x:c r="B53" s="30"/>
      <x:c r="C53" s="24"/>
      <x:c r="D53" s="24"/>
      <x:c r="E53" s="24"/>
      <x:c r="F53" s="24"/>
      <x:c r="G53" s="24"/>
      <x:c r="H53" s="24"/>
      <x:c r="I53" s="24"/>
      <x:c r="J53" s="24"/>
      <x:c r="K53" s="24"/>
      <x:c r="L53" s="31"/>
      <x:c r="M53" s="31"/>
      <x:c r="N53" s="31"/>
      <x:c r="O53" s="24"/>
      <x:c r="P53" s="43"/>
      <x:c r="Q53" s="44"/>
      <x:c r="R53" s="32"/>
      <x:c r="S53" s="24"/>
      <x:c r="T53" s="24"/>
      <x:c r="U53" s="24"/>
      <x:c r="V53" s="24"/>
    </x:row>
    <x:row r="54">
      <x:c r="A54" s="24"/>
      <x:c r="B54" s="30"/>
      <x:c r="C54" s="24"/>
      <x:c r="D54" s="24"/>
      <x:c r="E54" s="24"/>
      <x:c r="F54" s="24"/>
      <x:c r="G54" s="24"/>
      <x:c r="H54" s="24"/>
      <x:c r="I54" s="24"/>
      <x:c r="J54" s="24"/>
      <x:c r="K54" s="24"/>
      <x:c r="L54" s="31"/>
      <x:c r="M54" s="31"/>
      <x:c r="N54" s="31"/>
      <x:c r="O54" s="24"/>
      <x:c r="P54" s="43"/>
      <x:c r="Q54" s="44"/>
      <x:c r="R54" s="32"/>
      <x:c r="S54" s="24"/>
      <x:c r="T54" s="24"/>
      <x:c r="U54" s="24"/>
      <x:c r="V54" s="24"/>
    </x:row>
    <x:row r="55">
      <x:c r="A55" s="24"/>
      <x:c r="B55" s="30"/>
      <x:c r="C55" s="24"/>
      <x:c r="D55" s="24"/>
      <x:c r="E55" s="24"/>
      <x:c r="F55" s="24"/>
      <x:c r="G55" s="24"/>
      <x:c r="H55" s="24"/>
      <x:c r="I55" s="24"/>
      <x:c r="J55" s="24"/>
      <x:c r="K55" s="24"/>
      <x:c r="L55" s="31"/>
      <x:c r="M55" s="31"/>
      <x:c r="N55" s="31"/>
      <x:c r="O55" s="24"/>
      <x:c r="P55" s="43"/>
      <x:c r="Q55" s="44"/>
      <x:c r="R55" s="32"/>
      <x:c r="S55" s="24"/>
      <x:c r="T55" s="24"/>
      <x:c r="U55" s="24"/>
      <x:c r="V55" s="24"/>
    </x:row>
    <x:row r="56">
      <x:c r="A56" s="24"/>
      <x:c r="B56" s="30"/>
      <x:c r="C56" s="24"/>
      <x:c r="D56" s="24"/>
      <x:c r="E56" s="24"/>
      <x:c r="F56" s="24"/>
      <x:c r="G56" s="24"/>
      <x:c r="H56" s="24"/>
      <x:c r="I56" s="24"/>
      <x:c r="J56" s="24"/>
      <x:c r="K56" s="24"/>
      <x:c r="L56" s="31"/>
      <x:c r="M56" s="31"/>
      <x:c r="N56" s="31"/>
      <x:c r="O56" s="24"/>
      <x:c r="P56" s="43"/>
      <x:c r="Q56" s="44"/>
      <x:c r="R56" s="32"/>
      <x:c r="S56" s="24"/>
      <x:c r="T56" s="24"/>
      <x:c r="U56" s="24"/>
      <x:c r="V56" s="24"/>
    </x:row>
    <x:row r="57">
      <x:c r="A57" s="24"/>
      <x:c r="B57" s="30"/>
      <x:c r="C57" s="24"/>
      <x:c r="D57" s="24"/>
      <x:c r="E57" s="24"/>
      <x:c r="F57" s="24"/>
      <x:c r="G57" s="24"/>
      <x:c r="H57" s="24"/>
      <x:c r="I57" s="24"/>
      <x:c r="J57" s="24"/>
      <x:c r="K57" s="24"/>
      <x:c r="L57" s="31"/>
      <x:c r="M57" s="31"/>
      <x:c r="N57" s="31"/>
      <x:c r="O57" s="24"/>
      <x:c r="P57" s="43"/>
      <x:c r="Q57" s="44"/>
      <x:c r="R57" s="32"/>
      <x:c r="S57" s="24"/>
      <x:c r="T57" s="24"/>
      <x:c r="U57" s="24"/>
      <x:c r="V57" s="24"/>
    </x:row>
    <x:row r="58">
      <x:c r="A58" s="24"/>
      <x:c r="B58" s="30"/>
      <x:c r="C58" s="24"/>
      <x:c r="D58" s="24"/>
      <x:c r="E58" s="24"/>
      <x:c r="F58" s="24"/>
      <x:c r="G58" s="24"/>
      <x:c r="H58" s="24"/>
      <x:c r="I58" s="24"/>
      <x:c r="J58" s="24"/>
      <x:c r="K58" s="24"/>
      <x:c r="L58" s="31"/>
      <x:c r="M58" s="31"/>
      <x:c r="N58" s="31"/>
      <x:c r="O58" s="24"/>
      <x:c r="P58" s="43"/>
      <x:c r="Q58" s="44"/>
      <x:c r="R58" s="32"/>
      <x:c r="S58" s="24"/>
      <x:c r="T58" s="24"/>
      <x:c r="U58" s="24"/>
      <x:c r="V58" s="24"/>
    </x:row>
    <x:row r="59">
      <x:c r="A59" s="24"/>
      <x:c r="B59" s="30"/>
      <x:c r="C59" s="24"/>
      <x:c r="D59" s="24"/>
      <x:c r="E59" s="24"/>
      <x:c r="F59" s="24"/>
      <x:c r="G59" s="24"/>
      <x:c r="H59" s="24"/>
      <x:c r="I59" s="24"/>
      <x:c r="J59" s="24"/>
      <x:c r="K59" s="24"/>
      <x:c r="L59" s="31"/>
      <x:c r="M59" s="31"/>
      <x:c r="N59" s="31"/>
      <x:c r="O59" s="24"/>
      <x:c r="P59" s="43"/>
      <x:c r="Q59" s="44"/>
      <x:c r="R59" s="32"/>
      <x:c r="S59" s="24"/>
      <x:c r="T59" s="24"/>
      <x:c r="U59" s="24"/>
      <x:c r="V59" s="24"/>
    </x:row>
    <x:row r="60">
      <x:c r="A60" s="24"/>
      <x:c r="B60" s="30"/>
      <x:c r="C60" s="24"/>
      <x:c r="D60" s="24"/>
      <x:c r="E60" s="24"/>
      <x:c r="F60" s="24"/>
      <x:c r="G60" s="24"/>
      <x:c r="H60" s="24"/>
      <x:c r="I60" s="24"/>
      <x:c r="J60" s="24"/>
      <x:c r="K60" s="24"/>
      <x:c r="L60" s="31"/>
      <x:c r="M60" s="31"/>
      <x:c r="N60" s="31"/>
      <x:c r="O60" s="24"/>
      <x:c r="P60" s="43"/>
      <x:c r="Q60" s="44"/>
      <x:c r="R60" s="32"/>
      <x:c r="S60" s="24"/>
      <x:c r="T60" s="24"/>
      <x:c r="U60" s="24"/>
      <x:c r="V60" s="24"/>
    </x:row>
    <x:row r="61">
      <x:c r="A61" s="24"/>
      <x:c r="B61" s="30"/>
      <x:c r="C61" s="24"/>
      <x:c r="D61" s="24"/>
      <x:c r="E61" s="24"/>
      <x:c r="F61" s="24"/>
      <x:c r="G61" s="24"/>
      <x:c r="H61" s="24"/>
      <x:c r="I61" s="24"/>
      <x:c r="J61" s="24"/>
      <x:c r="K61" s="24"/>
      <x:c r="L61" s="31"/>
      <x:c r="M61" s="31"/>
      <x:c r="N61" s="31"/>
      <x:c r="O61" s="24"/>
      <x:c r="P61" s="43"/>
      <x:c r="Q61" s="44"/>
      <x:c r="R61" s="32"/>
      <x:c r="S61" s="24"/>
      <x:c r="T61" s="24"/>
      <x:c r="U61" s="24"/>
      <x:c r="V61" s="24"/>
    </x:row>
    <x:row r="62">
      <x:c r="A62" s="24"/>
      <x:c r="B62" s="30"/>
      <x:c r="C62" s="24"/>
      <x:c r="D62" s="24"/>
      <x:c r="E62" s="24"/>
      <x:c r="F62" s="24"/>
      <x:c r="G62" s="24"/>
      <x:c r="H62" s="24"/>
      <x:c r="I62" s="24"/>
      <x:c r="J62" s="24"/>
      <x:c r="K62" s="24"/>
      <x:c r="L62" s="31"/>
      <x:c r="M62" s="31"/>
      <x:c r="N62" s="31"/>
      <x:c r="O62" s="24"/>
      <x:c r="P62" s="43"/>
      <x:c r="Q62" s="44"/>
      <x:c r="R62" s="32"/>
      <x:c r="S62" s="24"/>
      <x:c r="T62" s="24"/>
      <x:c r="U62" s="24"/>
      <x:c r="V62" s="24"/>
    </x:row>
    <x:row r="63">
      <x:c r="A63" s="24"/>
      <x:c r="B63" s="30"/>
      <x:c r="C63" s="24"/>
      <x:c r="D63" s="24"/>
      <x:c r="E63" s="24"/>
      <x:c r="F63" s="24"/>
      <x:c r="G63" s="24"/>
      <x:c r="H63" s="24"/>
      <x:c r="I63" s="24"/>
      <x:c r="J63" s="24"/>
      <x:c r="K63" s="24"/>
      <x:c r="L63" s="31"/>
      <x:c r="M63" s="31"/>
      <x:c r="N63" s="31"/>
      <x:c r="O63" s="24"/>
      <x:c r="P63" s="43"/>
      <x:c r="Q63" s="44"/>
      <x:c r="R63" s="32"/>
      <x:c r="S63" s="24"/>
      <x:c r="T63" s="24"/>
      <x:c r="U63" s="24"/>
      <x:c r="V63" s="24"/>
    </x:row>
    <x:row r="64">
      <x:c r="A64" s="24"/>
      <x:c r="B64" s="30"/>
      <x:c r="C64" s="24"/>
      <x:c r="D64" s="24"/>
      <x:c r="E64" s="24"/>
      <x:c r="F64" s="24"/>
      <x:c r="G64" s="24"/>
      <x:c r="H64" s="24"/>
      <x:c r="I64" s="24"/>
      <x:c r="J64" s="24"/>
      <x:c r="K64" s="24"/>
      <x:c r="L64" s="31"/>
      <x:c r="M64" s="31"/>
      <x:c r="N64" s="31"/>
      <x:c r="O64" s="24"/>
      <x:c r="P64" s="43"/>
      <x:c r="Q64" s="44"/>
      <x:c r="R64" s="32"/>
      <x:c r="S64" s="24"/>
      <x:c r="T64" s="24"/>
      <x:c r="U64" s="24"/>
      <x:c r="V64" s="24"/>
    </x:row>
    <x:row r="65">
      <x:c r="A65" s="24"/>
      <x:c r="B65" s="30"/>
      <x:c r="C65" s="24"/>
      <x:c r="D65" s="24"/>
      <x:c r="E65" s="24"/>
      <x:c r="F65" s="24"/>
      <x:c r="G65" s="24"/>
      <x:c r="H65" s="24"/>
      <x:c r="I65" s="24"/>
      <x:c r="J65" s="24"/>
      <x:c r="K65" s="24"/>
      <x:c r="L65" s="31"/>
      <x:c r="M65" s="31"/>
      <x:c r="N65" s="31"/>
      <x:c r="O65" s="24"/>
      <x:c r="P65" s="43"/>
      <x:c r="Q65" s="44"/>
      <x:c r="R65" s="32"/>
      <x:c r="S65" s="24"/>
      <x:c r="T65" s="24"/>
      <x:c r="U65" s="24"/>
      <x:c r="V65" s="24"/>
    </x:row>
    <x:row r="66">
      <x:c r="A66" s="24"/>
      <x:c r="B66" s="30"/>
      <x:c r="C66" s="24"/>
      <x:c r="D66" s="24"/>
      <x:c r="E66" s="24"/>
      <x:c r="F66" s="24"/>
      <x:c r="G66" s="24"/>
      <x:c r="H66" s="24"/>
      <x:c r="I66" s="24"/>
      <x:c r="J66" s="24"/>
      <x:c r="K66" s="24"/>
      <x:c r="L66" s="31"/>
      <x:c r="M66" s="31"/>
      <x:c r="N66" s="31"/>
      <x:c r="O66" s="24"/>
      <x:c r="P66" s="43"/>
      <x:c r="Q66" s="44"/>
      <x:c r="R66" s="32"/>
      <x:c r="S66" s="24"/>
      <x:c r="T66" s="24"/>
      <x:c r="U66" s="24"/>
      <x:c r="V66" s="24"/>
    </x:row>
    <x:row r="67">
      <x:c r="A67" s="24"/>
      <x:c r="B67" s="30"/>
      <x:c r="C67" s="24"/>
      <x:c r="D67" s="24"/>
      <x:c r="E67" s="24"/>
      <x:c r="F67" s="24"/>
      <x:c r="G67" s="24"/>
      <x:c r="H67" s="24"/>
      <x:c r="I67" s="24"/>
      <x:c r="J67" s="24"/>
      <x:c r="K67" s="24"/>
      <x:c r="L67" s="31"/>
      <x:c r="M67" s="31"/>
      <x:c r="N67" s="31"/>
      <x:c r="O67" s="24"/>
      <x:c r="P67" s="43"/>
      <x:c r="Q67" s="44"/>
      <x:c r="R67" s="32"/>
      <x:c r="S67" s="24"/>
      <x:c r="T67" s="24"/>
      <x:c r="U67" s="24"/>
      <x:c r="V67" s="24"/>
    </x:row>
    <x:row r="68">
      <x:c r="A68" s="24"/>
      <x:c r="B68" s="30"/>
      <x:c r="C68" s="24"/>
      <x:c r="D68" s="24"/>
      <x:c r="E68" s="24"/>
      <x:c r="F68" s="24"/>
      <x:c r="G68" s="24"/>
      <x:c r="H68" s="24"/>
      <x:c r="I68" s="24"/>
      <x:c r="J68" s="24"/>
      <x:c r="K68" s="24"/>
      <x:c r="L68" s="31"/>
      <x:c r="M68" s="31"/>
      <x:c r="N68" s="31"/>
      <x:c r="O68" s="24"/>
      <x:c r="P68" s="43"/>
      <x:c r="Q68" s="44"/>
      <x:c r="R68" s="32"/>
      <x:c r="S68" s="24"/>
      <x:c r="T68" s="24"/>
      <x:c r="U68" s="24"/>
      <x:c r="V68" s="24"/>
    </x:row>
    <x:row r="69">
      <x:c r="A69" s="24"/>
      <x:c r="B69" s="30"/>
      <x:c r="C69" s="24"/>
      <x:c r="D69" s="24"/>
      <x:c r="E69" s="24"/>
      <x:c r="F69" s="24"/>
      <x:c r="G69" s="24"/>
      <x:c r="H69" s="24"/>
      <x:c r="I69" s="24"/>
      <x:c r="J69" s="24"/>
      <x:c r="K69" s="24"/>
      <x:c r="L69" s="31"/>
      <x:c r="M69" s="31"/>
      <x:c r="N69" s="31"/>
      <x:c r="O69" s="24"/>
      <x:c r="P69" s="43"/>
      <x:c r="Q69" s="44"/>
      <x:c r="R69" s="32"/>
      <x:c r="S69" s="24"/>
      <x:c r="T69" s="24"/>
      <x:c r="U69" s="24"/>
      <x:c r="V69" s="24"/>
    </x:row>
    <x:row r="70">
      <x:c r="A70" s="24"/>
      <x:c r="B70" s="30"/>
      <x:c r="C70" s="24"/>
      <x:c r="D70" s="24"/>
      <x:c r="E70" s="24"/>
      <x:c r="F70" s="24"/>
      <x:c r="G70" s="24"/>
      <x:c r="H70" s="24"/>
      <x:c r="I70" s="24"/>
      <x:c r="J70" s="24"/>
      <x:c r="K70" s="24"/>
      <x:c r="L70" s="31"/>
      <x:c r="M70" s="31"/>
      <x:c r="N70" s="31"/>
      <x:c r="O70" s="24"/>
      <x:c r="P70" s="43"/>
      <x:c r="Q70" s="44"/>
      <x:c r="R70" s="32"/>
      <x:c r="S70" s="24"/>
      <x:c r="T70" s="24"/>
      <x:c r="U70" s="24"/>
      <x:c r="V70" s="24"/>
    </x:row>
    <x:row r="71">
      <x:c r="A71" s="24"/>
      <x:c r="B71" s="30"/>
      <x:c r="C71" s="24"/>
      <x:c r="D71" s="24"/>
      <x:c r="E71" s="24"/>
      <x:c r="F71" s="24"/>
      <x:c r="G71" s="24"/>
      <x:c r="H71" s="24"/>
      <x:c r="I71" s="24"/>
      <x:c r="J71" s="24"/>
      <x:c r="K71" s="24"/>
      <x:c r="L71" s="31"/>
      <x:c r="M71" s="31"/>
      <x:c r="N71" s="31"/>
      <x:c r="O71" s="24"/>
      <x:c r="P71" s="43"/>
      <x:c r="Q71" s="44"/>
      <x:c r="R71" s="32"/>
      <x:c r="S71" s="24"/>
      <x:c r="T71" s="24"/>
      <x:c r="U71" s="24"/>
      <x:c r="V71" s="24"/>
    </x:row>
    <x:row r="72">
      <x:c r="A72" s="24"/>
      <x:c r="B72" s="30"/>
      <x:c r="C72" s="24"/>
      <x:c r="D72" s="24"/>
      <x:c r="E72" s="24"/>
      <x:c r="F72" s="24"/>
      <x:c r="G72" s="24"/>
      <x:c r="H72" s="24"/>
      <x:c r="I72" s="24"/>
      <x:c r="J72" s="24"/>
      <x:c r="K72" s="24"/>
      <x:c r="L72" s="31"/>
      <x:c r="M72" s="31"/>
      <x:c r="N72" s="31"/>
      <x:c r="O72" s="24"/>
      <x:c r="P72" s="43"/>
      <x:c r="Q72" s="44"/>
      <x:c r="R72" s="32"/>
      <x:c r="S72" s="24"/>
      <x:c r="T72" s="24"/>
      <x:c r="U72" s="24"/>
      <x:c r="V72" s="24"/>
    </x:row>
    <x:row r="73">
      <x:c r="A73" s="24"/>
      <x:c r="B73" s="30"/>
      <x:c r="C73" s="24"/>
      <x:c r="D73" s="24"/>
      <x:c r="E73" s="24"/>
      <x:c r="F73" s="24"/>
      <x:c r="G73" s="24"/>
      <x:c r="H73" s="24"/>
      <x:c r="I73" s="24"/>
      <x:c r="J73" s="24"/>
      <x:c r="K73" s="24"/>
      <x:c r="L73" s="31"/>
      <x:c r="M73" s="31"/>
      <x:c r="N73" s="31"/>
      <x:c r="O73" s="24"/>
      <x:c r="P73" s="43"/>
      <x:c r="Q73" s="44"/>
      <x:c r="R73" s="32"/>
      <x:c r="S73" s="24"/>
      <x:c r="T73" s="24"/>
      <x:c r="U73" s="24"/>
      <x:c r="V73" s="24"/>
    </x:row>
    <x:row r="74">
      <x:c r="A74" s="24"/>
      <x:c r="B74" s="30"/>
      <x:c r="C74" s="24"/>
      <x:c r="D74" s="24"/>
      <x:c r="E74" s="24"/>
      <x:c r="F74" s="24"/>
      <x:c r="G74" s="24"/>
      <x:c r="H74" s="24"/>
      <x:c r="I74" s="24"/>
      <x:c r="J74" s="24"/>
      <x:c r="K74" s="24"/>
      <x:c r="L74" s="31"/>
      <x:c r="M74" s="31"/>
      <x:c r="N74" s="31"/>
      <x:c r="O74" s="24"/>
      <x:c r="P74" s="43"/>
      <x:c r="Q74" s="44"/>
      <x:c r="R74" s="32"/>
      <x:c r="S74" s="24"/>
      <x:c r="T74" s="24"/>
      <x:c r="U74" s="24"/>
      <x:c r="V74" s="24"/>
    </x:row>
    <x:row r="75">
      <x:c r="A75" s="24"/>
      <x:c r="B75" s="30"/>
      <x:c r="C75" s="24"/>
      <x:c r="D75" s="24"/>
      <x:c r="E75" s="24"/>
      <x:c r="F75" s="24"/>
      <x:c r="G75" s="24"/>
      <x:c r="H75" s="24"/>
      <x:c r="I75" s="24"/>
      <x:c r="J75" s="24"/>
      <x:c r="K75" s="24"/>
      <x:c r="L75" s="31"/>
      <x:c r="M75" s="31"/>
      <x:c r="N75" s="31"/>
      <x:c r="O75" s="24"/>
      <x:c r="P75" s="43"/>
      <x:c r="Q75" s="44"/>
      <x:c r="R75" s="32"/>
      <x:c r="S75" s="24"/>
      <x:c r="T75" s="24"/>
      <x:c r="U75" s="24"/>
      <x:c r="V75" s="24"/>
    </x:row>
    <x:row r="76">
      <x:c r="A76" s="24"/>
      <x:c r="B76" s="30"/>
      <x:c r="C76" s="24"/>
      <x:c r="D76" s="24"/>
      <x:c r="E76" s="24"/>
      <x:c r="F76" s="24"/>
      <x:c r="G76" s="24"/>
      <x:c r="H76" s="24"/>
      <x:c r="I76" s="24"/>
      <x:c r="J76" s="24"/>
      <x:c r="K76" s="24"/>
      <x:c r="L76" s="31"/>
      <x:c r="M76" s="31"/>
      <x:c r="N76" s="31"/>
      <x:c r="O76" s="24"/>
      <x:c r="P76" s="43"/>
      <x:c r="Q76" s="44"/>
      <x:c r="R76" s="32"/>
      <x:c r="S76" s="24"/>
      <x:c r="T76" s="24"/>
      <x:c r="U76" s="24"/>
      <x:c r="V76" s="24"/>
    </x:row>
    <x:row r="77">
      <x:c r="A77" s="24"/>
      <x:c r="B77" s="30"/>
      <x:c r="C77" s="24"/>
      <x:c r="D77" s="24"/>
      <x:c r="E77" s="24"/>
      <x:c r="F77" s="24"/>
      <x:c r="G77" s="24"/>
      <x:c r="H77" s="24"/>
      <x:c r="I77" s="24"/>
      <x:c r="J77" s="24"/>
      <x:c r="K77" s="24"/>
      <x:c r="L77" s="31"/>
      <x:c r="M77" s="31"/>
      <x:c r="N77" s="31"/>
      <x:c r="O77" s="24"/>
      <x:c r="P77" s="43"/>
      <x:c r="Q77" s="44"/>
      <x:c r="R77" s="32"/>
      <x:c r="S77" s="24"/>
      <x:c r="T77" s="24"/>
      <x:c r="U77" s="24"/>
      <x:c r="V77" s="24"/>
    </x:row>
    <x:row r="78">
      <x:c r="A78" s="24"/>
      <x:c r="B78" s="30"/>
      <x:c r="C78" s="24"/>
      <x:c r="D78" s="24"/>
      <x:c r="E78" s="24"/>
      <x:c r="F78" s="24"/>
      <x:c r="G78" s="24"/>
      <x:c r="H78" s="24"/>
      <x:c r="I78" s="24"/>
      <x:c r="J78" s="24"/>
      <x:c r="K78" s="24"/>
      <x:c r="L78" s="31"/>
      <x:c r="M78" s="31"/>
      <x:c r="N78" s="31"/>
      <x:c r="O78" s="24"/>
      <x:c r="P78" s="43"/>
      <x:c r="Q78" s="44"/>
      <x:c r="R78" s="32"/>
      <x:c r="S78" s="24"/>
      <x:c r="T78" s="24"/>
      <x:c r="U78" s="24"/>
      <x:c r="V78" s="24"/>
    </x:row>
    <x:row r="79">
      <x:c r="A79" s="24"/>
      <x:c r="B79" s="30"/>
      <x:c r="C79" s="24"/>
      <x:c r="D79" s="24"/>
      <x:c r="E79" s="24"/>
      <x:c r="F79" s="24"/>
      <x:c r="G79" s="24"/>
      <x:c r="H79" s="24"/>
      <x:c r="I79" s="24"/>
      <x:c r="J79" s="24"/>
      <x:c r="K79" s="24"/>
      <x:c r="L79" s="31"/>
      <x:c r="M79" s="31"/>
      <x:c r="N79" s="31"/>
      <x:c r="O79" s="24"/>
      <x:c r="P79" s="43"/>
      <x:c r="Q79" s="44"/>
      <x:c r="R79" s="32"/>
      <x:c r="S79" s="24"/>
      <x:c r="T79" s="24"/>
      <x:c r="U79" s="24"/>
      <x:c r="V79" s="24"/>
    </x:row>
    <x:row r="80">
      <x:c r="A80" s="24"/>
      <x:c r="B80" s="30"/>
      <x:c r="C80" s="24"/>
      <x:c r="D80" s="24"/>
      <x:c r="E80" s="24"/>
      <x:c r="F80" s="24"/>
      <x:c r="G80" s="24"/>
      <x:c r="H80" s="24"/>
      <x:c r="I80" s="24"/>
      <x:c r="J80" s="24"/>
      <x:c r="K80" s="24"/>
      <x:c r="L80" s="31"/>
      <x:c r="M80" s="31"/>
      <x:c r="N80" s="31"/>
      <x:c r="O80" s="24"/>
      <x:c r="P80" s="43"/>
      <x:c r="Q80" s="44"/>
      <x:c r="R80" s="32"/>
      <x:c r="S80" s="24"/>
      <x:c r="T80" s="24"/>
      <x:c r="U80" s="24"/>
      <x:c r="V80" s="24"/>
    </x:row>
    <x:row r="81">
      <x:c r="A81" s="24"/>
      <x:c r="B81" s="30"/>
      <x:c r="C81" s="24"/>
      <x:c r="D81" s="24"/>
      <x:c r="E81" s="24"/>
      <x:c r="F81" s="24"/>
      <x:c r="G81" s="24"/>
      <x:c r="H81" s="24"/>
      <x:c r="I81" s="24"/>
      <x:c r="J81" s="24"/>
      <x:c r="K81" s="24"/>
      <x:c r="L81" s="31"/>
      <x:c r="M81" s="31"/>
      <x:c r="N81" s="31"/>
      <x:c r="O81" s="24"/>
      <x:c r="P81" s="43"/>
      <x:c r="Q81" s="44"/>
      <x:c r="R81" s="32"/>
      <x:c r="S81" s="24"/>
      <x:c r="T81" s="24"/>
      <x:c r="U81" s="24"/>
      <x:c r="V81" s="24"/>
    </x:row>
    <x:row r="82">
      <x:c r="A82" s="24"/>
      <x:c r="B82" s="30"/>
      <x:c r="C82" s="24"/>
      <x:c r="D82" s="24"/>
      <x:c r="E82" s="24"/>
      <x:c r="F82" s="24"/>
      <x:c r="G82" s="24"/>
      <x:c r="H82" s="24"/>
      <x:c r="I82" s="24"/>
      <x:c r="J82" s="24"/>
      <x:c r="K82" s="24"/>
      <x:c r="L82" s="31"/>
      <x:c r="M82" s="31"/>
      <x:c r="N82" s="31"/>
      <x:c r="O82" s="24"/>
      <x:c r="P82" s="43"/>
      <x:c r="Q82" s="44"/>
      <x:c r="R82" s="32"/>
      <x:c r="S82" s="24"/>
      <x:c r="T82" s="24"/>
      <x:c r="U82" s="24"/>
      <x:c r="V82" s="24"/>
    </x:row>
    <x:row r="83">
      <x:c r="A83" s="24"/>
      <x:c r="B83" s="30"/>
      <x:c r="C83" s="24"/>
      <x:c r="D83" s="24"/>
      <x:c r="E83" s="24"/>
      <x:c r="F83" s="24"/>
      <x:c r="G83" s="24"/>
      <x:c r="H83" s="24"/>
      <x:c r="I83" s="24"/>
      <x:c r="J83" s="24"/>
      <x:c r="K83" s="24"/>
      <x:c r="L83" s="31"/>
      <x:c r="M83" s="31"/>
      <x:c r="N83" s="31"/>
      <x:c r="O83" s="24"/>
      <x:c r="P83" s="43"/>
      <x:c r="Q83" s="44"/>
      <x:c r="R83" s="32"/>
      <x:c r="S83" s="24"/>
      <x:c r="T83" s="24"/>
      <x:c r="U83" s="24"/>
      <x:c r="V83" s="24"/>
    </x:row>
    <x:row r="84">
      <x:c r="A84" s="24"/>
      <x:c r="B84" s="30"/>
      <x:c r="C84" s="24"/>
      <x:c r="D84" s="24"/>
      <x:c r="E84" s="24"/>
      <x:c r="F84" s="24"/>
      <x:c r="G84" s="24"/>
      <x:c r="H84" s="24"/>
      <x:c r="I84" s="24"/>
      <x:c r="J84" s="24"/>
      <x:c r="K84" s="24"/>
      <x:c r="L84" s="31"/>
      <x:c r="M84" s="31"/>
      <x:c r="N84" s="31"/>
      <x:c r="O84" s="24"/>
      <x:c r="P84" s="43"/>
      <x:c r="Q84" s="44"/>
      <x:c r="R84" s="32"/>
      <x:c r="S84" s="24"/>
      <x:c r="T84" s="24"/>
      <x:c r="U84" s="24"/>
      <x:c r="V84" s="24"/>
    </x:row>
    <x:row r="85">
      <x:c r="A85" s="24"/>
      <x:c r="B85" s="30"/>
      <x:c r="C85" s="24"/>
      <x:c r="D85" s="24"/>
      <x:c r="E85" s="24"/>
      <x:c r="F85" s="24"/>
      <x:c r="G85" s="24"/>
      <x:c r="H85" s="24"/>
      <x:c r="I85" s="24"/>
      <x:c r="J85" s="24"/>
      <x:c r="K85" s="24"/>
      <x:c r="L85" s="31"/>
      <x:c r="M85" s="31"/>
      <x:c r="N85" s="31"/>
      <x:c r="O85" s="24"/>
      <x:c r="P85" s="43"/>
      <x:c r="Q85" s="44"/>
      <x:c r="R85" s="32"/>
      <x:c r="S85" s="24"/>
      <x:c r="T85" s="24"/>
      <x:c r="U85" s="24"/>
      <x:c r="V85" s="24"/>
    </x:row>
    <x:row r="86">
      <x:c r="A86" s="24"/>
      <x:c r="B86" s="30"/>
      <x:c r="C86" s="24"/>
      <x:c r="D86" s="24"/>
      <x:c r="E86" s="24"/>
      <x:c r="F86" s="24"/>
      <x:c r="G86" s="24"/>
      <x:c r="H86" s="24"/>
      <x:c r="I86" s="24"/>
      <x:c r="J86" s="24"/>
      <x:c r="K86" s="24"/>
      <x:c r="L86" s="31"/>
      <x:c r="M86" s="31"/>
      <x:c r="N86" s="31"/>
      <x:c r="O86" s="24"/>
      <x:c r="P86" s="43"/>
      <x:c r="Q86" s="44"/>
      <x:c r="R86" s="32"/>
      <x:c r="S86" s="24"/>
      <x:c r="T86" s="24"/>
      <x:c r="U86" s="24"/>
      <x:c r="V86" s="24"/>
    </x:row>
    <x:row r="87">
      <x:c r="A87" s="24"/>
      <x:c r="B87" s="30"/>
      <x:c r="C87" s="24"/>
      <x:c r="D87" s="24"/>
      <x:c r="E87" s="24"/>
      <x:c r="F87" s="24"/>
      <x:c r="G87" s="24"/>
      <x:c r="H87" s="24"/>
      <x:c r="I87" s="24"/>
      <x:c r="J87" s="24"/>
      <x:c r="K87" s="24"/>
      <x:c r="L87" s="31"/>
      <x:c r="M87" s="31"/>
      <x:c r="N87" s="31"/>
      <x:c r="O87" s="24"/>
      <x:c r="P87" s="43"/>
      <x:c r="Q87" s="44"/>
      <x:c r="R87" s="32"/>
      <x:c r="S87" s="24"/>
      <x:c r="T87" s="24"/>
      <x:c r="U87" s="24"/>
      <x:c r="V87" s="24"/>
    </x:row>
    <x:row r="88">
      <x:c r="A88" s="24"/>
      <x:c r="B88" s="30"/>
      <x:c r="C88" s="24"/>
      <x:c r="D88" s="24"/>
      <x:c r="E88" s="24"/>
      <x:c r="F88" s="24"/>
      <x:c r="G88" s="24"/>
      <x:c r="H88" s="24"/>
      <x:c r="I88" s="24"/>
      <x:c r="J88" s="24"/>
      <x:c r="K88" s="24"/>
      <x:c r="L88" s="31"/>
      <x:c r="M88" s="31"/>
      <x:c r="N88" s="31"/>
      <x:c r="O88" s="24"/>
      <x:c r="P88" s="43"/>
      <x:c r="Q88" s="44"/>
      <x:c r="R88" s="32"/>
      <x:c r="S88" s="24"/>
      <x:c r="T88" s="24"/>
      <x:c r="U88" s="24"/>
      <x:c r="V88" s="24"/>
    </x:row>
    <x:row r="89">
      <x:c r="A89" s="24"/>
      <x:c r="B89" s="30"/>
      <x:c r="C89" s="24"/>
      <x:c r="D89" s="24"/>
      <x:c r="E89" s="24"/>
      <x:c r="F89" s="24"/>
      <x:c r="G89" s="24"/>
      <x:c r="H89" s="24"/>
      <x:c r="I89" s="24"/>
      <x:c r="J89" s="24"/>
      <x:c r="K89" s="24"/>
      <x:c r="L89" s="31"/>
      <x:c r="M89" s="31"/>
      <x:c r="N89" s="31"/>
      <x:c r="O89" s="24"/>
      <x:c r="P89" s="43"/>
      <x:c r="Q89" s="44"/>
      <x:c r="R89" s="32"/>
      <x:c r="S89" s="24"/>
      <x:c r="T89" s="24"/>
      <x:c r="U89" s="24"/>
      <x:c r="V89" s="24"/>
    </x:row>
    <x:row r="90">
      <x:c r="A90" s="24"/>
      <x:c r="B90" s="30"/>
      <x:c r="C90" s="24"/>
      <x:c r="D90" s="24"/>
      <x:c r="E90" s="24"/>
      <x:c r="F90" s="24"/>
      <x:c r="G90" s="24"/>
      <x:c r="H90" s="24"/>
      <x:c r="I90" s="24"/>
      <x:c r="J90" s="24"/>
      <x:c r="K90" s="24"/>
      <x:c r="L90" s="31"/>
      <x:c r="M90" s="31"/>
      <x:c r="N90" s="31"/>
      <x:c r="O90" s="24"/>
      <x:c r="P90" s="43"/>
      <x:c r="Q90" s="44"/>
      <x:c r="R90" s="32"/>
      <x:c r="S90" s="24"/>
      <x:c r="T90" s="24"/>
      <x:c r="U90" s="24"/>
      <x:c r="V90" s="24"/>
    </x:row>
    <x:row r="91">
      <x:c r="A91" s="24"/>
      <x:c r="B91" s="30"/>
      <x:c r="C91" s="24"/>
      <x:c r="D91" s="24"/>
      <x:c r="E91" s="24"/>
      <x:c r="F91" s="24"/>
      <x:c r="G91" s="24"/>
      <x:c r="H91" s="24"/>
      <x:c r="I91" s="24"/>
      <x:c r="J91" s="24"/>
      <x:c r="K91" s="24"/>
      <x:c r="L91" s="31"/>
      <x:c r="M91" s="31"/>
      <x:c r="N91" s="31"/>
      <x:c r="O91" s="24"/>
      <x:c r="P91" s="43"/>
      <x:c r="Q91" s="44"/>
      <x:c r="R91" s="32"/>
      <x:c r="S91" s="24"/>
      <x:c r="T91" s="24"/>
      <x:c r="U91" s="24"/>
      <x:c r="V91" s="24"/>
    </x:row>
    <x:row r="92">
      <x:c r="A92" s="24"/>
      <x:c r="B92" s="30"/>
      <x:c r="C92" s="24"/>
      <x:c r="D92" s="24"/>
      <x:c r="E92" s="24"/>
      <x:c r="F92" s="24"/>
      <x:c r="G92" s="24"/>
      <x:c r="H92" s="24"/>
      <x:c r="I92" s="24"/>
      <x:c r="J92" s="24"/>
      <x:c r="K92" s="24"/>
      <x:c r="L92" s="31"/>
      <x:c r="M92" s="31"/>
      <x:c r="N92" s="31"/>
      <x:c r="O92" s="24"/>
      <x:c r="P92" s="43"/>
      <x:c r="Q92" s="44"/>
      <x:c r="R92" s="32"/>
      <x:c r="S92" s="24"/>
      <x:c r="T92" s="24"/>
      <x:c r="U92" s="24"/>
      <x:c r="V92" s="24"/>
    </x:row>
    <x:row r="93">
      <x:c r="A93" s="24"/>
      <x:c r="B93" s="30"/>
      <x:c r="C93" s="24"/>
      <x:c r="D93" s="24"/>
      <x:c r="E93" s="24"/>
      <x:c r="F93" s="24"/>
      <x:c r="G93" s="24"/>
      <x:c r="H93" s="24"/>
      <x:c r="I93" s="24"/>
      <x:c r="J93" s="24"/>
      <x:c r="K93" s="24"/>
      <x:c r="L93" s="31"/>
      <x:c r="M93" s="31"/>
      <x:c r="N93" s="31"/>
      <x:c r="O93" s="24"/>
      <x:c r="P93" s="43"/>
      <x:c r="Q93" s="44"/>
      <x:c r="R93" s="32"/>
      <x:c r="S93" s="24"/>
      <x:c r="T93" s="24"/>
      <x:c r="U93" s="24"/>
      <x:c r="V93" s="24"/>
    </x:row>
    <x:row r="94">
      <x:c r="A94" s="24"/>
      <x:c r="B94" s="30"/>
      <x:c r="C94" s="24"/>
      <x:c r="D94" s="24"/>
      <x:c r="E94" s="24"/>
      <x:c r="F94" s="24"/>
      <x:c r="G94" s="24"/>
      <x:c r="H94" s="24"/>
      <x:c r="I94" s="24"/>
      <x:c r="J94" s="24"/>
      <x:c r="K94" s="24"/>
      <x:c r="L94" s="31"/>
      <x:c r="M94" s="31"/>
      <x:c r="N94" s="31"/>
      <x:c r="O94" s="24"/>
      <x:c r="P94" s="43"/>
      <x:c r="Q94" s="44"/>
      <x:c r="R94" s="32"/>
      <x:c r="S94" s="24"/>
      <x:c r="T94" s="24"/>
      <x:c r="U94" s="24"/>
      <x:c r="V94" s="24"/>
    </x:row>
    <x:row r="95">
      <x:c r="A95" s="24"/>
      <x:c r="B95" s="30"/>
      <x:c r="C95" s="24"/>
      <x:c r="D95" s="24"/>
      <x:c r="E95" s="24"/>
      <x:c r="F95" s="24"/>
      <x:c r="G95" s="24"/>
      <x:c r="H95" s="24"/>
      <x:c r="I95" s="24"/>
      <x:c r="J95" s="24"/>
      <x:c r="K95" s="24"/>
      <x:c r="L95" s="31"/>
      <x:c r="M95" s="31"/>
      <x:c r="N95" s="31"/>
      <x:c r="O95" s="24"/>
      <x:c r="P95" s="43"/>
      <x:c r="Q95" s="44"/>
      <x:c r="R95" s="32"/>
      <x:c r="S95" s="24"/>
      <x:c r="T95" s="24"/>
      <x:c r="U95" s="24"/>
      <x:c r="V95" s="24"/>
    </x:row>
    <x:row r="96">
      <x:c r="A96" s="24"/>
      <x:c r="B96" s="30"/>
      <x:c r="C96" s="24"/>
      <x:c r="D96" s="24"/>
      <x:c r="E96" s="24"/>
      <x:c r="F96" s="24"/>
      <x:c r="G96" s="24"/>
      <x:c r="H96" s="24"/>
      <x:c r="I96" s="24"/>
      <x:c r="J96" s="24"/>
      <x:c r="K96" s="24"/>
      <x:c r="L96" s="31"/>
      <x:c r="M96" s="31"/>
      <x:c r="N96" s="31"/>
      <x:c r="O96" s="24"/>
      <x:c r="P96" s="43"/>
      <x:c r="Q96" s="44"/>
      <x:c r="R96" s="32"/>
      <x:c r="S96" s="24"/>
      <x:c r="T96" s="24"/>
      <x:c r="U96" s="24"/>
      <x:c r="V96" s="24"/>
    </x:row>
    <x:row r="97">
      <x:c r="A97" s="24"/>
      <x:c r="B97" s="30"/>
      <x:c r="C97" s="24"/>
      <x:c r="D97" s="24"/>
      <x:c r="E97" s="24"/>
      <x:c r="F97" s="24"/>
      <x:c r="G97" s="24"/>
      <x:c r="H97" s="24"/>
      <x:c r="I97" s="24"/>
      <x:c r="J97" s="24"/>
      <x:c r="K97" s="24"/>
      <x:c r="L97" s="31"/>
      <x:c r="M97" s="31"/>
      <x:c r="N97" s="31"/>
      <x:c r="O97" s="24"/>
      <x:c r="P97" s="43"/>
      <x:c r="Q97" s="44"/>
      <x:c r="R97" s="32"/>
      <x:c r="S97" s="24"/>
      <x:c r="T97" s="24"/>
      <x:c r="U97" s="24"/>
      <x:c r="V97" s="24"/>
    </x:row>
    <x:row r="98">
      <x:c r="A98" s="24"/>
      <x:c r="B98" s="30"/>
      <x:c r="C98" s="24"/>
      <x:c r="D98" s="24"/>
      <x:c r="E98" s="24"/>
      <x:c r="F98" s="24"/>
      <x:c r="G98" s="24"/>
      <x:c r="H98" s="24"/>
      <x:c r="I98" s="24"/>
      <x:c r="J98" s="24"/>
      <x:c r="K98" s="24"/>
      <x:c r="L98" s="31"/>
      <x:c r="M98" s="31"/>
      <x:c r="N98" s="31"/>
      <x:c r="O98" s="24"/>
      <x:c r="P98" s="43"/>
      <x:c r="Q98" s="44"/>
      <x:c r="R98" s="32"/>
      <x:c r="S98" s="24"/>
      <x:c r="T98" s="24"/>
      <x:c r="U98" s="24"/>
      <x:c r="V98" s="24"/>
    </x:row>
    <x:row r="99">
      <x:c r="A99" s="24"/>
      <x:c r="B99" s="30"/>
      <x:c r="C99" s="24"/>
      <x:c r="D99" s="24"/>
      <x:c r="E99" s="24"/>
      <x:c r="F99" s="24"/>
      <x:c r="G99" s="24"/>
      <x:c r="H99" s="24"/>
      <x:c r="I99" s="24"/>
      <x:c r="J99" s="24"/>
      <x:c r="K99" s="24"/>
      <x:c r="L99" s="31"/>
      <x:c r="M99" s="31"/>
      <x:c r="N99" s="31"/>
      <x:c r="O99" s="24"/>
      <x:c r="P99" s="43"/>
      <x:c r="Q99" s="44"/>
      <x:c r="R99" s="32"/>
      <x:c r="S99" s="24"/>
      <x:c r="T99" s="24"/>
      <x:c r="U99" s="24"/>
      <x:c r="V99" s="24"/>
    </x:row>
    <x:row r="100">
      <x:c r="A100" s="24"/>
      <x:c r="B100" s="30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31"/>
      <x:c r="M100" s="31"/>
      <x:c r="N100" s="31"/>
      <x:c r="O100" s="24"/>
      <x:c r="P100" s="43"/>
      <x:c r="Q100" s="44"/>
      <x:c r="R100" s="32"/>
      <x:c r="S100" s="24"/>
      <x:c r="T100" s="24"/>
      <x:c r="U100" s="24"/>
      <x:c r="V100" s="24"/>
    </x:row>
    <x:row r="101">
      <x:c r="A101" s="24"/>
      <x:c r="B101" s="30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31"/>
      <x:c r="M101" s="31"/>
      <x:c r="N101" s="31"/>
      <x:c r="O101" s="24"/>
      <x:c r="P101" s="43"/>
      <x:c r="Q101" s="44"/>
      <x:c r="R101" s="32"/>
      <x:c r="S101" s="24"/>
      <x:c r="T101" s="24"/>
      <x:c r="U101" s="24"/>
      <x:c r="V101" s="24"/>
    </x:row>
    <x:row r="102">
      <x:c r="A102" s="24"/>
      <x:c r="B102" s="30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31"/>
      <x:c r="M102" s="31"/>
      <x:c r="N102" s="31"/>
      <x:c r="O102" s="24"/>
      <x:c r="P102" s="43"/>
      <x:c r="Q102" s="44"/>
      <x:c r="R102" s="32"/>
      <x:c r="S102" s="24"/>
      <x:c r="T102" s="24"/>
      <x:c r="U102" s="24"/>
      <x:c r="V102" s="24"/>
    </x:row>
    <x:row r="103">
      <x:c r="A103" s="24"/>
      <x:c r="B103" s="30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31"/>
      <x:c r="M103" s="31"/>
      <x:c r="N103" s="31"/>
      <x:c r="O103" s="24"/>
      <x:c r="P103" s="43"/>
      <x:c r="Q103" s="44"/>
      <x:c r="R103" s="32"/>
      <x:c r="S103" s="24"/>
      <x:c r="T103" s="24"/>
      <x:c r="U103" s="24"/>
      <x:c r="V103" s="24"/>
    </x:row>
    <x:row r="104">
      <x:c r="A104" s="24"/>
      <x:c r="B104" s="30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31"/>
      <x:c r="M104" s="31"/>
      <x:c r="N104" s="31"/>
      <x:c r="O104" s="24"/>
      <x:c r="P104" s="43"/>
      <x:c r="Q104" s="44"/>
      <x:c r="R104" s="32"/>
      <x:c r="S104" s="24"/>
      <x:c r="T104" s="24"/>
      <x:c r="U104" s="24"/>
      <x:c r="V104" s="24"/>
    </x:row>
    <x:row r="105">
      <x:c r="A105" s="24"/>
      <x:c r="B105" s="30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31"/>
      <x:c r="M105" s="31"/>
      <x:c r="N105" s="31"/>
      <x:c r="O105" s="24"/>
      <x:c r="P105" s="43"/>
      <x:c r="Q105" s="44"/>
      <x:c r="R105" s="32"/>
      <x:c r="S105" s="24"/>
      <x:c r="T105" s="24"/>
      <x:c r="U105" s="24"/>
      <x:c r="V105" s="24"/>
    </x:row>
    <x:row r="106">
      <x:c r="A106" s="24"/>
      <x:c r="B106" s="30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31"/>
      <x:c r="M106" s="31"/>
      <x:c r="N106" s="31"/>
      <x:c r="O106" s="24"/>
      <x:c r="P106" s="43"/>
      <x:c r="Q106" s="44"/>
      <x:c r="R106" s="32"/>
      <x:c r="S106" s="24"/>
      <x:c r="T106" s="24"/>
      <x:c r="U106" s="24"/>
      <x:c r="V106" s="24"/>
    </x:row>
    <x:row r="107">
      <x:c r="A107" s="24"/>
      <x:c r="B107" s="30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31"/>
      <x:c r="M107" s="31"/>
      <x:c r="N107" s="31"/>
      <x:c r="O107" s="24"/>
      <x:c r="P107" s="43"/>
      <x:c r="Q107" s="44"/>
      <x:c r="R107" s="32"/>
      <x:c r="S107" s="24"/>
      <x:c r="T107" s="24"/>
      <x:c r="U107" s="24"/>
      <x:c r="V107" s="24"/>
    </x:row>
    <x:row r="108">
      <x:c r="A108" s="24"/>
      <x:c r="B108" s="30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31"/>
      <x:c r="M108" s="31"/>
      <x:c r="N108" s="31"/>
      <x:c r="O108" s="24"/>
      <x:c r="P108" s="43"/>
      <x:c r="Q108" s="44"/>
      <x:c r="R108" s="32"/>
      <x:c r="S108" s="24"/>
      <x:c r="T108" s="24"/>
      <x:c r="U108" s="24"/>
      <x:c r="V108" s="24"/>
    </x:row>
    <x:row r="109">
      <x:c r="A109" s="24"/>
      <x:c r="B109" s="30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31"/>
      <x:c r="M109" s="31"/>
      <x:c r="N109" s="31"/>
      <x:c r="O109" s="24"/>
      <x:c r="P109" s="43"/>
      <x:c r="Q109" s="44"/>
      <x:c r="R109" s="32"/>
      <x:c r="S109" s="24"/>
      <x:c r="T109" s="24"/>
      <x:c r="U109" s="24"/>
      <x:c r="V109" s="24"/>
    </x:row>
    <x:row r="110">
      <x:c r="A110" s="24"/>
      <x:c r="B110" s="30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31"/>
      <x:c r="M110" s="31"/>
      <x:c r="N110" s="31"/>
      <x:c r="O110" s="24"/>
      <x:c r="P110" s="43"/>
      <x:c r="Q110" s="44"/>
      <x:c r="R110" s="32"/>
      <x:c r="S110" s="24"/>
      <x:c r="T110" s="24"/>
      <x:c r="U110" s="24"/>
      <x:c r="V110" s="24"/>
    </x:row>
    <x:row r="111">
      <x:c r="A111" s="24"/>
      <x:c r="B111" s="30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31"/>
      <x:c r="M111" s="31"/>
      <x:c r="N111" s="31"/>
      <x:c r="O111" s="24"/>
      <x:c r="P111" s="43"/>
      <x:c r="Q111" s="44"/>
      <x:c r="R111" s="32"/>
      <x:c r="S111" s="24"/>
      <x:c r="T111" s="24"/>
      <x:c r="U111" s="24"/>
      <x:c r="V111" s="24"/>
    </x:row>
    <x:row r="112">
      <x:c r="A112" s="24"/>
      <x:c r="B112" s="30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31"/>
      <x:c r="M112" s="31"/>
      <x:c r="N112" s="31"/>
      <x:c r="O112" s="24"/>
      <x:c r="P112" s="43"/>
      <x:c r="Q112" s="44"/>
      <x:c r="R112" s="32"/>
      <x:c r="S112" s="24"/>
      <x:c r="T112" s="24"/>
      <x:c r="U112" s="24"/>
      <x:c r="V112" s="24"/>
    </x:row>
    <x:row r="113">
      <x:c r="A113" s="24"/>
      <x:c r="B113" s="30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31"/>
      <x:c r="M113" s="31"/>
      <x:c r="N113" s="31"/>
      <x:c r="O113" s="24"/>
      <x:c r="P113" s="43"/>
      <x:c r="Q113" s="44"/>
      <x:c r="R113" s="32"/>
      <x:c r="S113" s="24"/>
      <x:c r="T113" s="24"/>
      <x:c r="U113" s="24"/>
      <x:c r="V113" s="24"/>
    </x:row>
    <x:row r="114">
      <x:c r="A114" s="24"/>
      <x:c r="B114" s="30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31"/>
      <x:c r="M114" s="31"/>
      <x:c r="N114" s="31"/>
      <x:c r="O114" s="24"/>
      <x:c r="P114" s="43"/>
      <x:c r="Q114" s="44"/>
      <x:c r="R114" s="32"/>
      <x:c r="S114" s="24"/>
      <x:c r="T114" s="24"/>
      <x:c r="U114" s="24"/>
      <x:c r="V114" s="24"/>
    </x:row>
    <x:row r="115">
      <x:c r="A115" s="24"/>
      <x:c r="B115" s="30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31"/>
      <x:c r="M115" s="31"/>
      <x:c r="N115" s="31"/>
      <x:c r="O115" s="24"/>
      <x:c r="P115" s="43"/>
      <x:c r="Q115" s="44"/>
      <x:c r="R115" s="32"/>
      <x:c r="S115" s="24"/>
      <x:c r="T115" s="24"/>
      <x:c r="U115" s="24"/>
      <x:c r="V115" s="24"/>
    </x:row>
    <x:row r="116">
      <x:c r="A116" s="24"/>
      <x:c r="B116" s="30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31"/>
      <x:c r="M116" s="31"/>
      <x:c r="N116" s="31"/>
      <x:c r="O116" s="24"/>
      <x:c r="P116" s="43"/>
      <x:c r="Q116" s="44"/>
      <x:c r="R116" s="32"/>
      <x:c r="S116" s="24"/>
      <x:c r="T116" s="24"/>
      <x:c r="U116" s="24"/>
      <x:c r="V116" s="24"/>
    </x:row>
    <x:row r="117">
      <x:c r="A117" s="24"/>
      <x:c r="B117" s="30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31"/>
      <x:c r="M117" s="31"/>
      <x:c r="N117" s="31"/>
      <x:c r="O117" s="24"/>
      <x:c r="P117" s="43"/>
      <x:c r="Q117" s="44"/>
      <x:c r="R117" s="32"/>
      <x:c r="S117" s="24"/>
      <x:c r="T117" s="24"/>
      <x:c r="U117" s="24"/>
      <x:c r="V117" s="24"/>
    </x:row>
    <x:row r="118">
      <x:c r="A118" s="24"/>
      <x:c r="B118" s="30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31"/>
      <x:c r="M118" s="31"/>
      <x:c r="N118" s="31"/>
      <x:c r="O118" s="24"/>
      <x:c r="P118" s="43"/>
      <x:c r="Q118" s="44"/>
      <x:c r="R118" s="32"/>
      <x:c r="S118" s="24"/>
      <x:c r="T118" s="24"/>
      <x:c r="U118" s="24"/>
      <x:c r="V118" s="24"/>
    </x:row>
    <x:row r="119">
      <x:c r="A119" s="24"/>
      <x:c r="B119" s="30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31"/>
      <x:c r="M119" s="31"/>
      <x:c r="N119" s="31"/>
      <x:c r="O119" s="24"/>
      <x:c r="P119" s="43"/>
      <x:c r="Q119" s="44"/>
      <x:c r="R119" s="32"/>
      <x:c r="S119" s="24"/>
      <x:c r="T119" s="24"/>
      <x:c r="U119" s="24"/>
      <x:c r="V119" s="24"/>
    </x:row>
    <x:row r="120">
      <x:c r="A120" s="24"/>
      <x:c r="B120" s="30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31"/>
      <x:c r="M120" s="31"/>
      <x:c r="N120" s="31"/>
      <x:c r="O120" s="24"/>
      <x:c r="P120" s="43"/>
      <x:c r="Q120" s="44"/>
      <x:c r="R120" s="32"/>
      <x:c r="S120" s="24"/>
      <x:c r="T120" s="24"/>
      <x:c r="U120" s="24"/>
      <x:c r="V120" s="24"/>
    </x:row>
    <x:row r="121">
      <x:c r="A121" s="24"/>
      <x:c r="B121" s="30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31"/>
      <x:c r="M121" s="31"/>
      <x:c r="N121" s="31"/>
      <x:c r="O121" s="24"/>
      <x:c r="P121" s="43"/>
      <x:c r="Q121" s="44"/>
      <x:c r="R121" s="32"/>
      <x:c r="S121" s="24"/>
      <x:c r="T121" s="24"/>
      <x:c r="U121" s="24"/>
      <x:c r="V121" s="24"/>
    </x:row>
    <x:row r="122">
      <x:c r="A122" s="24"/>
      <x:c r="B122" s="30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31"/>
      <x:c r="M122" s="31"/>
      <x:c r="N122" s="31"/>
      <x:c r="O122" s="24"/>
      <x:c r="P122" s="43"/>
      <x:c r="Q122" s="44"/>
      <x:c r="R122" s="32"/>
      <x:c r="S122" s="24"/>
      <x:c r="T122" s="24"/>
      <x:c r="U122" s="24"/>
      <x:c r="V122" s="24"/>
    </x:row>
    <x:row r="123">
      <x:c r="A123" s="24"/>
      <x:c r="B123" s="30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31"/>
      <x:c r="M123" s="31"/>
      <x:c r="N123" s="31"/>
      <x:c r="O123" s="24"/>
      <x:c r="P123" s="43"/>
      <x:c r="Q123" s="44"/>
      <x:c r="R123" s="32"/>
      <x:c r="S123" s="24"/>
      <x:c r="T123" s="24"/>
      <x:c r="U123" s="24"/>
      <x:c r="V123" s="24"/>
    </x:row>
    <x:row r="124">
      <x:c r="A124" s="24"/>
      <x:c r="B124" s="30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31"/>
      <x:c r="M124" s="31"/>
      <x:c r="N124" s="31"/>
      <x:c r="O124" s="24"/>
      <x:c r="P124" s="43"/>
      <x:c r="Q124" s="44"/>
      <x:c r="R124" s="32"/>
      <x:c r="S124" s="24"/>
      <x:c r="T124" s="24"/>
      <x:c r="U124" s="24"/>
      <x:c r="V124" s="24"/>
    </x:row>
    <x:row r="125">
      <x:c r="A125" s="24"/>
      <x:c r="B125" s="30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31"/>
      <x:c r="M125" s="31"/>
      <x:c r="N125" s="31"/>
      <x:c r="O125" s="24"/>
      <x:c r="P125" s="43"/>
      <x:c r="Q125" s="44"/>
      <x:c r="R125" s="32"/>
      <x:c r="S125" s="24"/>
      <x:c r="T125" s="24"/>
      <x:c r="U125" s="24"/>
      <x:c r="V125" s="24"/>
    </x:row>
    <x:row r="126">
      <x:c r="A126" s="24"/>
      <x:c r="B126" s="30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31"/>
      <x:c r="M126" s="31"/>
      <x:c r="N126" s="31"/>
      <x:c r="O126" s="24"/>
      <x:c r="P126" s="43"/>
      <x:c r="Q126" s="44"/>
      <x:c r="R126" s="32"/>
      <x:c r="S126" s="24"/>
      <x:c r="T126" s="24"/>
      <x:c r="U126" s="24"/>
      <x:c r="V126" s="24"/>
    </x:row>
    <x:row r="127">
      <x:c r="A127" s="24"/>
      <x:c r="B127" s="30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31"/>
      <x:c r="M127" s="31"/>
      <x:c r="N127" s="31"/>
      <x:c r="O127" s="24"/>
      <x:c r="P127" s="43"/>
      <x:c r="Q127" s="44"/>
      <x:c r="R127" s="32"/>
      <x:c r="S127" s="24"/>
      <x:c r="T127" s="24"/>
      <x:c r="U127" s="24"/>
      <x:c r="V127" s="24"/>
    </x:row>
    <x:row r="128">
      <x:c r="A128" s="24"/>
      <x:c r="B128" s="30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31"/>
      <x:c r="M128" s="31"/>
      <x:c r="N128" s="31"/>
      <x:c r="O128" s="24"/>
      <x:c r="P128" s="43"/>
      <x:c r="Q128" s="44"/>
      <x:c r="R128" s="32"/>
      <x:c r="S128" s="24"/>
      <x:c r="T128" s="24"/>
      <x:c r="U128" s="24"/>
      <x:c r="V128" s="24"/>
    </x:row>
    <x:row r="129">
      <x:c r="A129" s="24"/>
      <x:c r="B129" s="30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31"/>
      <x:c r="M129" s="31"/>
      <x:c r="N129" s="31"/>
      <x:c r="O129" s="24"/>
      <x:c r="P129" s="43"/>
      <x:c r="Q129" s="44"/>
      <x:c r="R129" s="32"/>
      <x:c r="S129" s="24"/>
      <x:c r="T129" s="24"/>
      <x:c r="U129" s="24"/>
      <x:c r="V129" s="24"/>
    </x:row>
    <x:row r="130">
      <x:c r="A130" s="24"/>
      <x:c r="B130" s="30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31"/>
      <x:c r="M130" s="31"/>
      <x:c r="N130" s="31"/>
      <x:c r="O130" s="24"/>
      <x:c r="P130" s="43"/>
      <x:c r="Q130" s="44"/>
      <x:c r="R130" s="32"/>
      <x:c r="S130" s="24"/>
      <x:c r="T130" s="24"/>
      <x:c r="U130" s="24"/>
      <x:c r="V130" s="24"/>
    </x:row>
    <x:row r="131">
      <x:c r="A131" s="24"/>
      <x:c r="B131" s="30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31"/>
      <x:c r="M131" s="31"/>
      <x:c r="N131" s="31"/>
      <x:c r="O131" s="24"/>
      <x:c r="P131" s="43"/>
      <x:c r="Q131" s="44"/>
      <x:c r="R131" s="32"/>
      <x:c r="S131" s="24"/>
      <x:c r="T131" s="24"/>
      <x:c r="U131" s="24"/>
      <x:c r="V131" s="24"/>
    </x:row>
    <x:row r="132">
      <x:c r="A132" s="24"/>
      <x:c r="B132" s="30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31"/>
      <x:c r="M132" s="31"/>
      <x:c r="N132" s="31"/>
      <x:c r="O132" s="24"/>
      <x:c r="P132" s="43"/>
      <x:c r="Q132" s="44"/>
      <x:c r="R132" s="32"/>
      <x:c r="S132" s="24"/>
      <x:c r="T132" s="24"/>
      <x:c r="U132" s="24"/>
      <x:c r="V132" s="24"/>
    </x:row>
    <x:row r="133">
      <x:c r="A133" s="24"/>
      <x:c r="B133" s="30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31"/>
      <x:c r="M133" s="31"/>
      <x:c r="N133" s="31"/>
      <x:c r="O133" s="24"/>
      <x:c r="P133" s="43"/>
      <x:c r="Q133" s="44"/>
      <x:c r="R133" s="32"/>
      <x:c r="S133" s="24"/>
      <x:c r="T133" s="24"/>
      <x:c r="U133" s="24"/>
      <x:c r="V133" s="24"/>
    </x:row>
    <x:row r="134">
      <x:c r="A134" s="24"/>
      <x:c r="B134" s="30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31"/>
      <x:c r="M134" s="31"/>
      <x:c r="N134" s="31"/>
      <x:c r="O134" s="24"/>
      <x:c r="P134" s="43"/>
      <x:c r="Q134" s="44"/>
      <x:c r="R134" s="32"/>
      <x:c r="S134" s="24"/>
      <x:c r="T134" s="24"/>
      <x:c r="U134" s="24"/>
      <x:c r="V134" s="24"/>
    </x:row>
    <x:row r="135">
      <x:c r="A135" s="24"/>
      <x:c r="B135" s="30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31"/>
      <x:c r="M135" s="31"/>
      <x:c r="N135" s="31"/>
      <x:c r="O135" s="24"/>
      <x:c r="P135" s="43"/>
      <x:c r="Q135" s="44"/>
      <x:c r="R135" s="32"/>
      <x:c r="S135" s="24"/>
      <x:c r="T135" s="24"/>
      <x:c r="U135" s="24"/>
      <x:c r="V135" s="24"/>
    </x:row>
    <x:row r="136">
      <x:c r="A136" s="24"/>
      <x:c r="B136" s="30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31"/>
      <x:c r="M136" s="31"/>
      <x:c r="N136" s="31"/>
      <x:c r="O136" s="24"/>
      <x:c r="P136" s="43"/>
      <x:c r="Q136" s="44"/>
      <x:c r="R136" s="32"/>
      <x:c r="S136" s="24"/>
      <x:c r="T136" s="24"/>
      <x:c r="U136" s="24"/>
      <x:c r="V136" s="24"/>
    </x:row>
    <x:row r="137">
      <x:c r="A137" s="24"/>
      <x:c r="B137" s="30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31"/>
      <x:c r="M137" s="31"/>
      <x:c r="N137" s="31"/>
      <x:c r="O137" s="24"/>
      <x:c r="P137" s="43"/>
      <x:c r="Q137" s="44"/>
      <x:c r="R137" s="32"/>
      <x:c r="S137" s="24"/>
      <x:c r="T137" s="24"/>
      <x:c r="U137" s="24"/>
      <x:c r="V137" s="24"/>
    </x:row>
    <x:row r="138">
      <x:c r="A138" s="24"/>
      <x:c r="B138" s="30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31"/>
      <x:c r="M138" s="31"/>
      <x:c r="N138" s="31"/>
      <x:c r="O138" s="24"/>
      <x:c r="P138" s="43"/>
      <x:c r="Q138" s="44"/>
      <x:c r="R138" s="32"/>
      <x:c r="S138" s="24"/>
      <x:c r="T138" s="24"/>
      <x:c r="U138" s="24"/>
      <x:c r="V138" s="24"/>
    </x:row>
    <x:row r="139">
      <x:c r="A139" s="24"/>
      <x:c r="B139" s="30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31"/>
      <x:c r="M139" s="31"/>
      <x:c r="N139" s="31"/>
      <x:c r="O139" s="24"/>
      <x:c r="P139" s="43"/>
      <x:c r="Q139" s="44"/>
      <x:c r="R139" s="32"/>
      <x:c r="S139" s="24"/>
      <x:c r="T139" s="24"/>
      <x:c r="U139" s="24"/>
      <x:c r="V139" s="24"/>
    </x:row>
    <x:row r="140">
      <x:c r="A140" s="24"/>
      <x:c r="B140" s="30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31"/>
      <x:c r="M140" s="31"/>
      <x:c r="N140" s="31"/>
      <x:c r="O140" s="24"/>
      <x:c r="P140" s="43"/>
      <x:c r="Q140" s="44"/>
      <x:c r="R140" s="32"/>
      <x:c r="S140" s="24"/>
      <x:c r="T140" s="24"/>
      <x:c r="U140" s="24"/>
      <x:c r="V140" s="24"/>
    </x:row>
    <x:row r="141">
      <x:c r="A141" s="24"/>
      <x:c r="B141" s="30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31"/>
      <x:c r="M141" s="31"/>
      <x:c r="N141" s="31"/>
      <x:c r="O141" s="24"/>
      <x:c r="P141" s="43"/>
      <x:c r="Q141" s="44"/>
      <x:c r="R141" s="32"/>
      <x:c r="S141" s="24"/>
      <x:c r="T141" s="24"/>
      <x:c r="U141" s="24"/>
      <x:c r="V141" s="24"/>
    </x:row>
    <x:row r="142">
      <x:c r="A142" s="24"/>
      <x:c r="B142" s="30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31"/>
      <x:c r="M142" s="31"/>
      <x:c r="N142" s="31"/>
      <x:c r="O142" s="24"/>
      <x:c r="P142" s="43"/>
      <x:c r="Q142" s="44"/>
      <x:c r="R142" s="32"/>
      <x:c r="S142" s="24"/>
      <x:c r="T142" s="24"/>
      <x:c r="U142" s="24"/>
      <x:c r="V142" s="24"/>
    </x:row>
    <x:row r="143">
      <x:c r="A143" s="24"/>
      <x:c r="B143" s="30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31"/>
      <x:c r="M143" s="31"/>
      <x:c r="N143" s="31"/>
      <x:c r="O143" s="24"/>
      <x:c r="P143" s="43"/>
      <x:c r="Q143" s="44"/>
      <x:c r="R143" s="32"/>
      <x:c r="S143" s="24"/>
      <x:c r="T143" s="24"/>
      <x:c r="U143" s="24"/>
      <x:c r="V143" s="24"/>
    </x:row>
    <x:row r="144">
      <x:c r="A144" s="24"/>
      <x:c r="B144" s="30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31"/>
      <x:c r="M144" s="31"/>
      <x:c r="N144" s="31"/>
      <x:c r="O144" s="24"/>
      <x:c r="P144" s="43"/>
      <x:c r="Q144" s="44"/>
      <x:c r="R144" s="32"/>
      <x:c r="S144" s="24"/>
      <x:c r="T144" s="24"/>
      <x:c r="U144" s="24"/>
      <x:c r="V144" s="24"/>
    </x:row>
    <x:row r="145">
      <x:c r="A145" s="24"/>
      <x:c r="B145" s="30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31"/>
      <x:c r="M145" s="31"/>
      <x:c r="N145" s="31"/>
      <x:c r="O145" s="24"/>
      <x:c r="P145" s="43"/>
      <x:c r="Q145" s="44"/>
      <x:c r="R145" s="32"/>
      <x:c r="S145" s="24"/>
      <x:c r="T145" s="24"/>
      <x:c r="U145" s="24"/>
      <x:c r="V145" s="24"/>
    </x:row>
    <x:row r="146">
      <x:c r="A146" s="24"/>
      <x:c r="B146" s="30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31"/>
      <x:c r="M146" s="31"/>
      <x:c r="N146" s="31"/>
      <x:c r="O146" s="24"/>
      <x:c r="P146" s="43"/>
      <x:c r="Q146" s="44"/>
      <x:c r="R146" s="32"/>
      <x:c r="S146" s="24"/>
      <x:c r="T146" s="24"/>
      <x:c r="U146" s="24"/>
      <x:c r="V146" s="24"/>
    </x:row>
    <x:row r="147">
      <x:c r="A147" s="24"/>
      <x:c r="B147" s="30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31"/>
      <x:c r="M147" s="31"/>
      <x:c r="N147" s="31"/>
      <x:c r="O147" s="24"/>
      <x:c r="P147" s="43"/>
      <x:c r="Q147" s="44"/>
      <x:c r="R147" s="32"/>
      <x:c r="S147" s="24"/>
      <x:c r="T147" s="24"/>
      <x:c r="U147" s="24"/>
      <x:c r="V147" s="24"/>
    </x:row>
    <x:row r="148">
      <x:c r="A148" s="24"/>
      <x:c r="B148" s="30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31"/>
      <x:c r="M148" s="31"/>
      <x:c r="N148" s="31"/>
      <x:c r="O148" s="24"/>
      <x:c r="P148" s="43"/>
      <x:c r="Q148" s="44"/>
      <x:c r="R148" s="32"/>
      <x:c r="S148" s="24"/>
      <x:c r="T148" s="24"/>
      <x:c r="U148" s="24"/>
      <x:c r="V148" s="24"/>
    </x:row>
    <x:row r="149">
      <x:c r="A149" s="24"/>
      <x:c r="B149" s="30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31"/>
      <x:c r="M149" s="31"/>
      <x:c r="N149" s="31"/>
      <x:c r="O149" s="24"/>
      <x:c r="P149" s="43"/>
      <x:c r="Q149" s="44"/>
      <x:c r="R149" s="32"/>
      <x:c r="S149" s="24"/>
      <x:c r="T149" s="24"/>
      <x:c r="U149" s="24"/>
      <x:c r="V149" s="24"/>
    </x:row>
    <x:row r="150">
      <x:c r="A150" s="24"/>
      <x:c r="B150" s="30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31"/>
      <x:c r="M150" s="31"/>
      <x:c r="N150" s="31"/>
      <x:c r="O150" s="24"/>
      <x:c r="P150" s="43"/>
      <x:c r="Q150" s="44"/>
      <x:c r="R150" s="32"/>
      <x:c r="S150" s="24"/>
      <x:c r="T150" s="24"/>
      <x:c r="U150" s="24"/>
      <x:c r="V150" s="24"/>
    </x:row>
    <x:row r="151">
      <x:c r="A151" s="24"/>
      <x:c r="B151" s="30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31"/>
      <x:c r="M151" s="31"/>
      <x:c r="N151" s="31"/>
      <x:c r="O151" s="24"/>
      <x:c r="P151" s="43"/>
      <x:c r="Q151" s="44"/>
      <x:c r="R151" s="32"/>
      <x:c r="S151" s="24"/>
      <x:c r="T151" s="24"/>
      <x:c r="U151" s="24"/>
      <x:c r="V151" s="24"/>
    </x:row>
    <x:row r="152">
      <x:c r="A152" s="24"/>
      <x:c r="B152" s="30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31"/>
      <x:c r="M152" s="31"/>
      <x:c r="N152" s="31"/>
      <x:c r="O152" s="24"/>
      <x:c r="P152" s="43"/>
      <x:c r="Q152" s="44"/>
      <x:c r="R152" s="32"/>
      <x:c r="S152" s="24"/>
      <x:c r="T152" s="24"/>
      <x:c r="U152" s="24"/>
      <x:c r="V152" s="24"/>
    </x:row>
    <x:row r="153">
      <x:c r="A153" s="24"/>
      <x:c r="B153" s="30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31"/>
      <x:c r="M153" s="31"/>
      <x:c r="N153" s="31"/>
      <x:c r="O153" s="24"/>
      <x:c r="P153" s="43"/>
      <x:c r="Q153" s="44"/>
      <x:c r="R153" s="32"/>
      <x:c r="S153" s="24"/>
      <x:c r="T153" s="24"/>
      <x:c r="U153" s="24"/>
      <x:c r="V153" s="24"/>
    </x:row>
    <x:row r="154">
      <x:c r="A154" s="24"/>
      <x:c r="B154" s="30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31"/>
      <x:c r="M154" s="31"/>
      <x:c r="N154" s="31"/>
      <x:c r="O154" s="24"/>
      <x:c r="P154" s="43"/>
      <x:c r="Q154" s="44"/>
      <x:c r="R154" s="32"/>
      <x:c r="S154" s="24"/>
      <x:c r="T154" s="24"/>
      <x:c r="U154" s="24"/>
      <x:c r="V154" s="24"/>
    </x:row>
    <x:row r="155">
      <x:c r="A155" s="24"/>
      <x:c r="B155" s="30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31"/>
      <x:c r="M155" s="31"/>
      <x:c r="N155" s="31"/>
      <x:c r="O155" s="24"/>
      <x:c r="P155" s="43"/>
      <x:c r="Q155" s="44"/>
      <x:c r="R155" s="32"/>
      <x:c r="S155" s="24"/>
      <x:c r="T155" s="24"/>
      <x:c r="U155" s="24"/>
      <x:c r="V155" s="24"/>
    </x:row>
    <x:row r="156">
      <x:c r="A156" s="24"/>
      <x:c r="B156" s="30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31"/>
      <x:c r="M156" s="31"/>
      <x:c r="N156" s="31"/>
      <x:c r="O156" s="24"/>
      <x:c r="P156" s="43"/>
      <x:c r="Q156" s="44"/>
      <x:c r="R156" s="32"/>
      <x:c r="S156" s="24"/>
      <x:c r="T156" s="24"/>
      <x:c r="U156" s="24"/>
      <x:c r="V156" s="24"/>
    </x:row>
    <x:row r="157">
      <x:c r="A157" s="24"/>
      <x:c r="B157" s="30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31"/>
      <x:c r="M157" s="31"/>
      <x:c r="N157" s="31"/>
      <x:c r="O157" s="24"/>
      <x:c r="P157" s="43"/>
      <x:c r="Q157" s="44"/>
      <x:c r="R157" s="32"/>
      <x:c r="S157" s="24"/>
      <x:c r="T157" s="24"/>
      <x:c r="U157" s="24"/>
      <x:c r="V157" s="24"/>
    </x:row>
    <x:row r="158">
      <x:c r="A158" s="24"/>
      <x:c r="B158" s="30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31"/>
      <x:c r="M158" s="31"/>
      <x:c r="N158" s="31"/>
      <x:c r="O158" s="24"/>
      <x:c r="P158" s="43"/>
      <x:c r="Q158" s="44"/>
      <x:c r="R158" s="32"/>
      <x:c r="S158" s="24"/>
      <x:c r="T158" s="24"/>
      <x:c r="U158" s="24"/>
      <x:c r="V158" s="24"/>
    </x:row>
    <x:row r="159">
      <x:c r="A159" s="24"/>
      <x:c r="B159" s="30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31"/>
      <x:c r="M159" s="31"/>
      <x:c r="N159" s="31"/>
      <x:c r="O159" s="24"/>
      <x:c r="P159" s="43"/>
      <x:c r="Q159" s="44"/>
      <x:c r="R159" s="32"/>
      <x:c r="S159" s="24"/>
      <x:c r="T159" s="24"/>
      <x:c r="U159" s="24"/>
      <x:c r="V159" s="24"/>
    </x:row>
    <x:row r="160">
      <x:c r="A160" s="24"/>
      <x:c r="B160" s="30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31"/>
      <x:c r="M160" s="31"/>
      <x:c r="N160" s="31"/>
      <x:c r="O160" s="24"/>
      <x:c r="P160" s="43"/>
      <x:c r="Q160" s="44"/>
      <x:c r="R160" s="32"/>
      <x:c r="S160" s="24"/>
      <x:c r="T160" s="24"/>
      <x:c r="U160" s="24"/>
      <x:c r="V160" s="24"/>
    </x:row>
    <x:row r="161">
      <x:c r="A161" s="24"/>
      <x:c r="B161" s="30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31"/>
      <x:c r="M161" s="31"/>
      <x:c r="N161" s="31"/>
      <x:c r="O161" s="24"/>
      <x:c r="P161" s="43"/>
      <x:c r="Q161" s="44"/>
      <x:c r="R161" s="32"/>
      <x:c r="S161" s="24"/>
      <x:c r="T161" s="24"/>
      <x:c r="U161" s="24"/>
      <x:c r="V161" s="24"/>
    </x:row>
    <x:row r="162">
      <x:c r="A162" s="24"/>
      <x:c r="B162" s="30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31"/>
      <x:c r="M162" s="31"/>
      <x:c r="N162" s="31"/>
      <x:c r="O162" s="24"/>
      <x:c r="P162" s="43"/>
      <x:c r="Q162" s="44"/>
      <x:c r="R162" s="32"/>
      <x:c r="S162" s="24"/>
      <x:c r="T162" s="24"/>
      <x:c r="U162" s="24"/>
      <x:c r="V162" s="24"/>
    </x:row>
    <x:row r="163">
      <x:c r="A163" s="24"/>
      <x:c r="B163" s="30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31"/>
      <x:c r="M163" s="31"/>
      <x:c r="N163" s="31"/>
      <x:c r="O163" s="24"/>
      <x:c r="P163" s="43"/>
      <x:c r="Q163" s="44"/>
      <x:c r="R163" s="32"/>
      <x:c r="S163" s="24"/>
      <x:c r="T163" s="24"/>
      <x:c r="U163" s="24"/>
      <x:c r="V163" s="24"/>
    </x:row>
    <x:row r="164">
      <x:c r="A164" s="24"/>
      <x:c r="B164" s="30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31"/>
      <x:c r="M164" s="31"/>
      <x:c r="N164" s="31"/>
      <x:c r="O164" s="24"/>
      <x:c r="P164" s="43"/>
      <x:c r="Q164" s="44"/>
      <x:c r="R164" s="32"/>
      <x:c r="S164" s="24"/>
      <x:c r="T164" s="24"/>
      <x:c r="U164" s="24"/>
      <x:c r="V164" s="24"/>
    </x:row>
    <x:row r="165">
      <x:c r="A165" s="24"/>
      <x:c r="B165" s="30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31"/>
      <x:c r="M165" s="31"/>
      <x:c r="N165" s="31"/>
      <x:c r="O165" s="24"/>
      <x:c r="P165" s="43"/>
      <x:c r="Q165" s="44"/>
      <x:c r="R165" s="32"/>
      <x:c r="S165" s="24"/>
      <x:c r="T165" s="24"/>
      <x:c r="U165" s="24"/>
      <x:c r="V165" s="24"/>
    </x:row>
    <x:row r="166">
      <x:c r="A166" s="24"/>
      <x:c r="B166" s="30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31"/>
      <x:c r="M166" s="31"/>
      <x:c r="N166" s="31"/>
      <x:c r="O166" s="24"/>
      <x:c r="P166" s="43"/>
      <x:c r="Q166" s="44"/>
      <x:c r="R166" s="32"/>
      <x:c r="S166" s="24"/>
      <x:c r="T166" s="24"/>
      <x:c r="U166" s="24"/>
      <x:c r="V166" s="24"/>
    </x:row>
    <x:row r="167">
      <x:c r="A167" s="24"/>
      <x:c r="B167" s="30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31"/>
      <x:c r="M167" s="31"/>
      <x:c r="N167" s="31"/>
      <x:c r="O167" s="24"/>
      <x:c r="P167" s="43"/>
      <x:c r="Q167" s="44"/>
      <x:c r="R167" s="32"/>
      <x:c r="S167" s="24"/>
      <x:c r="T167" s="24"/>
      <x:c r="U167" s="24"/>
      <x:c r="V167" s="24"/>
    </x:row>
    <x:row r="168">
      <x:c r="A168" s="24"/>
      <x:c r="B168" s="30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31"/>
      <x:c r="M168" s="31"/>
      <x:c r="N168" s="31"/>
      <x:c r="O168" s="24"/>
      <x:c r="P168" s="43"/>
      <x:c r="Q168" s="44"/>
      <x:c r="R168" s="32"/>
      <x:c r="S168" s="24"/>
      <x:c r="T168" s="24"/>
      <x:c r="U168" s="24"/>
      <x:c r="V168" s="24"/>
    </x:row>
    <x:row r="169">
      <x:c r="A169" s="24"/>
      <x:c r="B169" s="30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31"/>
      <x:c r="M169" s="31"/>
      <x:c r="N169" s="31"/>
      <x:c r="O169" s="24"/>
      <x:c r="P169" s="43"/>
      <x:c r="Q169" s="44"/>
      <x:c r="R169" s="32"/>
      <x:c r="S169" s="24"/>
      <x:c r="T169" s="24"/>
      <x:c r="U169" s="24"/>
      <x:c r="V169" s="24"/>
    </x:row>
    <x:row r="170">
      <x:c r="A170" s="24"/>
      <x:c r="B170" s="30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31"/>
      <x:c r="M170" s="31"/>
      <x:c r="N170" s="31"/>
      <x:c r="O170" s="24"/>
      <x:c r="P170" s="43"/>
      <x:c r="Q170" s="44"/>
      <x:c r="R170" s="32"/>
      <x:c r="S170" s="24"/>
      <x:c r="T170" s="24"/>
      <x:c r="U170" s="24"/>
      <x:c r="V170" s="24"/>
    </x:row>
    <x:row r="171">
      <x:c r="A171" s="24"/>
      <x:c r="B171" s="30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31"/>
      <x:c r="M171" s="31"/>
      <x:c r="N171" s="31"/>
      <x:c r="O171" s="24"/>
      <x:c r="P171" s="43"/>
      <x:c r="Q171" s="44"/>
      <x:c r="R171" s="32"/>
      <x:c r="S171" s="24"/>
      <x:c r="T171" s="24"/>
      <x:c r="U171" s="24"/>
      <x:c r="V171" s="24"/>
    </x:row>
    <x:row r="172">
      <x:c r="A172" s="24"/>
      <x:c r="B172" s="30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31"/>
      <x:c r="M172" s="31"/>
      <x:c r="N172" s="31"/>
      <x:c r="O172" s="24"/>
      <x:c r="P172" s="43"/>
      <x:c r="Q172" s="44"/>
      <x:c r="R172" s="32"/>
      <x:c r="S172" s="24"/>
      <x:c r="T172" s="24"/>
      <x:c r="U172" s="24"/>
      <x:c r="V172" s="24"/>
    </x:row>
    <x:row r="173">
      <x:c r="A173" s="24"/>
      <x:c r="B173" s="30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31"/>
      <x:c r="M173" s="31"/>
      <x:c r="N173" s="31"/>
      <x:c r="O173" s="24"/>
      <x:c r="P173" s="43"/>
      <x:c r="Q173" s="44"/>
      <x:c r="R173" s="32"/>
      <x:c r="S173" s="24"/>
      <x:c r="T173" s="24"/>
      <x:c r="U173" s="24"/>
      <x:c r="V173" s="24"/>
    </x:row>
    <x:row r="174">
      <x:c r="A174" s="24"/>
      <x:c r="B174" s="30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31"/>
      <x:c r="M174" s="31"/>
      <x:c r="N174" s="31"/>
      <x:c r="O174" s="24"/>
      <x:c r="P174" s="43"/>
      <x:c r="Q174" s="44"/>
      <x:c r="R174" s="32"/>
      <x:c r="S174" s="24"/>
      <x:c r="T174" s="24"/>
      <x:c r="U174" s="24"/>
      <x:c r="V174" s="24"/>
    </x:row>
    <x:row r="175">
      <x:c r="A175" s="24"/>
      <x:c r="B175" s="30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31"/>
      <x:c r="M175" s="31"/>
      <x:c r="N175" s="31"/>
      <x:c r="O175" s="24"/>
      <x:c r="P175" s="43"/>
      <x:c r="Q175" s="44"/>
      <x:c r="R175" s="32"/>
      <x:c r="S175" s="24"/>
      <x:c r="T175" s="24"/>
      <x:c r="U175" s="24"/>
      <x:c r="V175" s="24"/>
    </x:row>
    <x:row r="176">
      <x:c r="A176" s="24"/>
      <x:c r="B176" s="30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31"/>
      <x:c r="M176" s="31"/>
      <x:c r="N176" s="31"/>
      <x:c r="O176" s="24"/>
      <x:c r="P176" s="43"/>
      <x:c r="Q176" s="44"/>
      <x:c r="R176" s="32"/>
      <x:c r="S176" s="24"/>
      <x:c r="T176" s="24"/>
      <x:c r="U176" s="24"/>
      <x:c r="V176" s="24"/>
    </x:row>
    <x:row r="177">
      <x:c r="A177" s="24"/>
      <x:c r="B177" s="30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31"/>
      <x:c r="M177" s="31"/>
      <x:c r="N177" s="31"/>
      <x:c r="O177" s="24"/>
      <x:c r="P177" s="43"/>
      <x:c r="Q177" s="44"/>
      <x:c r="R177" s="32"/>
      <x:c r="S177" s="24"/>
      <x:c r="T177" s="24"/>
      <x:c r="U177" s="24"/>
      <x:c r="V177" s="24"/>
    </x:row>
    <x:row r="178">
      <x:c r="A178" s="24"/>
      <x:c r="B178" s="30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31"/>
      <x:c r="M178" s="31"/>
      <x:c r="N178" s="31"/>
      <x:c r="O178" s="24"/>
      <x:c r="P178" s="43"/>
      <x:c r="Q178" s="44"/>
      <x:c r="R178" s="32"/>
      <x:c r="S178" s="24"/>
      <x:c r="T178" s="24"/>
      <x:c r="U178" s="24"/>
      <x:c r="V178" s="24"/>
    </x:row>
    <x:row r="179">
      <x:c r="A179" s="24"/>
      <x:c r="B179" s="30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31"/>
      <x:c r="M179" s="31"/>
      <x:c r="N179" s="31"/>
      <x:c r="O179" s="24"/>
      <x:c r="P179" s="43"/>
      <x:c r="Q179" s="44"/>
      <x:c r="R179" s="32"/>
      <x:c r="S179" s="24"/>
      <x:c r="T179" s="24"/>
      <x:c r="U179" s="24"/>
      <x:c r="V179" s="24"/>
    </x:row>
    <x:row r="180">
      <x:c r="A180" s="24"/>
      <x:c r="B180" s="30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31"/>
      <x:c r="M180" s="31"/>
      <x:c r="N180" s="31"/>
      <x:c r="O180" s="24"/>
      <x:c r="P180" s="43"/>
      <x:c r="Q180" s="44"/>
      <x:c r="R180" s="32"/>
      <x:c r="S180" s="24"/>
      <x:c r="T180" s="24"/>
      <x:c r="U180" s="24"/>
      <x:c r="V180" s="24"/>
    </x:row>
    <x:row r="181">
      <x:c r="A181" s="24"/>
      <x:c r="B181" s="30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31"/>
      <x:c r="M181" s="31"/>
      <x:c r="N181" s="31"/>
      <x:c r="O181" s="24"/>
      <x:c r="P181" s="43"/>
      <x:c r="Q181" s="44"/>
      <x:c r="R181" s="32"/>
      <x:c r="S181" s="24"/>
      <x:c r="T181" s="24"/>
      <x:c r="U181" s="24"/>
      <x:c r="V181" s="24"/>
    </x:row>
    <x:row r="182">
      <x:c r="A182" s="24"/>
      <x:c r="B182" s="30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31"/>
      <x:c r="M182" s="31"/>
      <x:c r="N182" s="31"/>
      <x:c r="O182" s="24"/>
      <x:c r="P182" s="43"/>
      <x:c r="Q182" s="44"/>
      <x:c r="R182" s="32"/>
      <x:c r="S182" s="24"/>
      <x:c r="T182" s="24"/>
      <x:c r="U182" s="24"/>
      <x:c r="V182" s="24"/>
    </x:row>
    <x:row r="183">
      <x:c r="A183" s="24"/>
      <x:c r="B183" s="30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31"/>
      <x:c r="M183" s="31"/>
      <x:c r="N183" s="31"/>
      <x:c r="O183" s="24"/>
      <x:c r="P183" s="43"/>
      <x:c r="Q183" s="44"/>
      <x:c r="R183" s="32"/>
      <x:c r="S183" s="24"/>
      <x:c r="T183" s="24"/>
      <x:c r="U183" s="24"/>
      <x:c r="V183" s="24"/>
    </x:row>
    <x:row r="184">
      <x:c r="A184" s="24"/>
      <x:c r="B184" s="30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31"/>
      <x:c r="M184" s="31"/>
      <x:c r="N184" s="31"/>
      <x:c r="O184" s="24"/>
      <x:c r="P184" s="43"/>
      <x:c r="Q184" s="44"/>
      <x:c r="R184" s="32"/>
      <x:c r="S184" s="24"/>
      <x:c r="T184" s="24"/>
      <x:c r="U184" s="24"/>
      <x:c r="V184" s="24"/>
    </x:row>
    <x:row r="185">
      <x:c r="A185" s="24"/>
      <x:c r="B185" s="30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31"/>
      <x:c r="M185" s="31"/>
      <x:c r="N185" s="31"/>
      <x:c r="O185" s="24"/>
      <x:c r="P185" s="43"/>
      <x:c r="Q185" s="44"/>
      <x:c r="R185" s="32"/>
      <x:c r="S185" s="24"/>
      <x:c r="T185" s="24"/>
      <x:c r="U185" s="24"/>
      <x:c r="V185" s="24"/>
    </x:row>
    <x:row r="186">
      <x:c r="A186" s="24"/>
      <x:c r="B186" s="30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31"/>
      <x:c r="M186" s="31"/>
      <x:c r="N186" s="31"/>
      <x:c r="O186" s="24"/>
      <x:c r="P186" s="43"/>
      <x:c r="Q186" s="44"/>
      <x:c r="R186" s="32"/>
      <x:c r="S186" s="24"/>
      <x:c r="T186" s="24"/>
      <x:c r="U186" s="24"/>
      <x:c r="V186" s="24"/>
    </x:row>
    <x:row r="187">
      <x:c r="A187" s="24"/>
      <x:c r="B187" s="30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31"/>
      <x:c r="M187" s="31"/>
      <x:c r="N187" s="31"/>
      <x:c r="O187" s="24"/>
      <x:c r="P187" s="43"/>
      <x:c r="Q187" s="44"/>
      <x:c r="R187" s="32"/>
      <x:c r="S187" s="24"/>
      <x:c r="T187" s="24"/>
      <x:c r="U187" s="24"/>
      <x:c r="V187" s="24"/>
    </x:row>
    <x:row r="188">
      <x:c r="A188" s="24"/>
      <x:c r="B188" s="30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31"/>
      <x:c r="M188" s="31"/>
      <x:c r="N188" s="31"/>
      <x:c r="O188" s="24"/>
      <x:c r="P188" s="43"/>
      <x:c r="Q188" s="44"/>
      <x:c r="R188" s="32"/>
      <x:c r="S188" s="24"/>
      <x:c r="T188" s="24"/>
      <x:c r="U188" s="24"/>
      <x:c r="V188" s="24"/>
    </x:row>
    <x:row r="189">
      <x:c r="A189" s="24"/>
      <x:c r="B189" s="30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31"/>
      <x:c r="M189" s="31"/>
      <x:c r="N189" s="31"/>
      <x:c r="O189" s="24"/>
      <x:c r="P189" s="43"/>
      <x:c r="Q189" s="44"/>
      <x:c r="R189" s="32"/>
      <x:c r="S189" s="24"/>
      <x:c r="T189" s="24"/>
      <x:c r="U189" s="24"/>
      <x:c r="V189" s="24"/>
    </x:row>
    <x:row r="190">
      <x:c r="A190" s="24"/>
      <x:c r="B190" s="30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31"/>
      <x:c r="M190" s="31"/>
      <x:c r="N190" s="31"/>
      <x:c r="O190" s="24"/>
      <x:c r="P190" s="43"/>
      <x:c r="Q190" s="44"/>
      <x:c r="R190" s="32"/>
      <x:c r="S190" s="24"/>
      <x:c r="T190" s="24"/>
      <x:c r="U190" s="24"/>
      <x:c r="V190" s="24"/>
    </x:row>
    <x:row r="191">
      <x:c r="A191" s="24"/>
      <x:c r="B191" s="30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31"/>
      <x:c r="M191" s="31"/>
      <x:c r="N191" s="31"/>
      <x:c r="O191" s="24"/>
      <x:c r="P191" s="43"/>
      <x:c r="Q191" s="44"/>
      <x:c r="R191" s="32"/>
      <x:c r="S191" s="24"/>
      <x:c r="T191" s="24"/>
      <x:c r="U191" s="24"/>
      <x:c r="V191" s="24"/>
    </x:row>
    <x:row r="192">
      <x:c r="A192" s="24"/>
      <x:c r="B192" s="30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31"/>
      <x:c r="M192" s="31"/>
      <x:c r="N192" s="31"/>
      <x:c r="O192" s="24"/>
      <x:c r="P192" s="43"/>
      <x:c r="Q192" s="44"/>
      <x:c r="R192" s="32"/>
      <x:c r="S192" s="24"/>
      <x:c r="T192" s="24"/>
      <x:c r="U192" s="24"/>
      <x:c r="V192" s="24"/>
    </x:row>
    <x:row r="193">
      <x:c r="A193" s="24"/>
      <x:c r="B193" s="30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31"/>
      <x:c r="M193" s="31"/>
      <x:c r="N193" s="31"/>
      <x:c r="O193" s="24"/>
      <x:c r="P193" s="43"/>
      <x:c r="Q193" s="44"/>
      <x:c r="R193" s="32"/>
      <x:c r="S193" s="24"/>
      <x:c r="T193" s="24"/>
      <x:c r="U193" s="24"/>
      <x:c r="V193" s="24"/>
    </x:row>
    <x:row r="194">
      <x:c r="A194" s="24"/>
      <x:c r="B194" s="30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31"/>
      <x:c r="M194" s="31"/>
      <x:c r="N194" s="31"/>
      <x:c r="O194" s="24"/>
      <x:c r="P194" s="43"/>
      <x:c r="Q194" s="44"/>
      <x:c r="R194" s="32"/>
      <x:c r="S194" s="24"/>
      <x:c r="T194" s="24"/>
      <x:c r="U194" s="24"/>
      <x:c r="V194" s="24"/>
    </x:row>
    <x:row r="195">
      <x:c r="A195" s="24"/>
      <x:c r="B195" s="30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31"/>
      <x:c r="M195" s="31"/>
      <x:c r="N195" s="31"/>
      <x:c r="O195" s="24"/>
      <x:c r="P195" s="43"/>
      <x:c r="Q195" s="44"/>
      <x:c r="R195" s="32"/>
      <x:c r="S195" s="24"/>
      <x:c r="T195" s="24"/>
      <x:c r="U195" s="24"/>
      <x:c r="V195" s="24"/>
    </x:row>
    <x:row r="196">
      <x:c r="A196" s="24"/>
      <x:c r="B196" s="30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31"/>
      <x:c r="M196" s="31"/>
      <x:c r="N196" s="31"/>
      <x:c r="O196" s="24"/>
      <x:c r="P196" s="43"/>
      <x:c r="Q196" s="44"/>
      <x:c r="R196" s="32"/>
      <x:c r="S196" s="24"/>
      <x:c r="T196" s="24"/>
      <x:c r="U196" s="24"/>
      <x:c r="V196" s="24"/>
    </x:row>
    <x:row r="197">
      <x:c r="A197" s="24"/>
      <x:c r="B197" s="30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31"/>
      <x:c r="M197" s="31"/>
      <x:c r="N197" s="31"/>
      <x:c r="O197" s="24"/>
      <x:c r="P197" s="43"/>
      <x:c r="Q197" s="44"/>
      <x:c r="R197" s="32"/>
      <x:c r="S197" s="24"/>
      <x:c r="T197" s="24"/>
      <x:c r="U197" s="24"/>
      <x:c r="V197" s="24"/>
    </x:row>
    <x:row r="198">
      <x:c r="A198" s="24"/>
      <x:c r="B198" s="30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31"/>
      <x:c r="M198" s="31"/>
      <x:c r="N198" s="31"/>
      <x:c r="O198" s="24"/>
      <x:c r="P198" s="43"/>
      <x:c r="Q198" s="44"/>
      <x:c r="R198" s="32"/>
      <x:c r="S198" s="24"/>
      <x:c r="T198" s="24"/>
      <x:c r="U198" s="24"/>
      <x:c r="V198" s="24"/>
    </x:row>
    <x:row r="199">
      <x:c r="A199" s="24"/>
      <x:c r="B199" s="30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31"/>
      <x:c r="M199" s="31"/>
      <x:c r="N199" s="31"/>
      <x:c r="O199" s="24"/>
      <x:c r="P199" s="43"/>
      <x:c r="Q199" s="44"/>
      <x:c r="R199" s="32"/>
      <x:c r="S199" s="24"/>
      <x:c r="T199" s="24"/>
      <x:c r="U199" s="24"/>
      <x:c r="V199" s="24"/>
    </x:row>
    <x:row r="200">
      <x:c r="A200" s="24"/>
      <x:c r="B200" s="30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31"/>
      <x:c r="M200" s="31"/>
      <x:c r="N200" s="31"/>
      <x:c r="O200" s="24"/>
      <x:c r="P200" s="43"/>
      <x:c r="Q200" s="44"/>
      <x:c r="R200" s="32"/>
      <x:c r="S200" s="24"/>
      <x:c r="T200" s="24"/>
      <x:c r="U200" s="24"/>
      <x:c r="V200" s="24"/>
    </x:row>
  </x:sheetData>
  <x:conditionalFormatting sqref="T2:T200">
    <x:cfRule type="expression" dxfId="0" priority="1">
      <x:formula>T2="PROMOTE"</x:formula>
    </x:cfRule>
    <x:cfRule type="expression" dxfId="1" priority="2">
      <x:formula>T2="REJECT"</x:formula>
    </x:cfRule>
    <x:cfRule type="expression" dxfId="2" priority="3">
      <x:formula>T2="HOLD"</x:formula>
    </x:cfRule>
  </x:conditionalFormatting>
  <x:conditionalFormatting sqref="L2:N200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U2:U200">
    <x:cfRule type="expression" dxfId="3" priority="5">
      <x:formula>U2="PROMOTE"</x:formula>
    </x:cfRule>
    <x:cfRule type="expression" dxfId="4" priority="6">
      <x:formula>OR(U2="REJECT",U2="SUPERSEDED")</x:formula>
    </x:cfRule>
    <x:cfRule type="expression" dxfId="5" priority="7">
      <x:formula>OR(U2="HOLD",U2="INCONCLUSIVE")</x:formula>
    </x:cfRule>
  </x:conditionalFormatting>
  <x:dataValidations count="3">
    <x:dataValidation type="list" sqref="T2:T200">
      <x:formula1>"BASELINE,DIAGNOSTIC_ONLY,HOLD,PROMOTE,REJECT"</x:formula1>
    </x:dataValidation>
    <x:dataValidation type="list" sqref="H2:H200">
      <x:formula1>"Human baseline,Feature Extractor,Terminology Engine,Query Planner,Retrieval Adapter,Relevance Scorer,Evidence Extractor,Search Controller,Evaluation,Multi-component"</x:formula1>
    </x:dataValidation>
    <x:dataValidation type="list" sqref="U2:U200">
      <x:formula1>"BASELINE,DIAGNOSTIC,PARTIALLY_VALIDATED,HOLD,PROMOTE,REJECT,SUPERSEDED,INCONCLUSIVE,AWAITING_ADJUDICATION"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e923d14b0a45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20" hidden="0" customWidth="1"/>
    <x:col min="5" max="5" width="18" hidden="0" customWidth="1"/>
    <x:col min="6" max="6" width="16" hidden="0" customWidth="1"/>
    <x:col min="7" max="7" width="44" hidden="0" customWidth="1"/>
  </x:cols>
  <x:sheetData>
    <x:row r="1">
      <x:c r="A1" s="38" t="str">
        <x:v>Category</x:v>
      </x:c>
      <x:c r="B1" s="38" t="str">
        <x:v>Input / Artifact</x:v>
      </x:c>
      <x:c r="C1" s="38" t="str">
        <x:v>Version / Set</x:v>
      </x:c>
      <x:c r="D1" s="38" t="str">
        <x:v>Status</x:v>
      </x:c>
      <x:c r="E1" s="38" t="str">
        <x:v>Value / Count</x:v>
      </x:c>
      <x:c r="F1" s="38" t="str">
        <x:v>Frozen?</x:v>
      </x:c>
      <x:c r="G1" s="38" t="str">
        <x:v>Notes</x:v>
      </x:c>
    </x:row>
    <x:row r="2">
      <x:c r="A2" s="24" t="str">
        <x:v>Case</x:v>
      </x:c>
      <x:c r="B2" s="24" t="str">
        <x:v>Benchmark</x:v>
      </x:c>
      <x:c r="C2" s="24" t="str">
        <x:v>BC001-v0.1-provisional</x:v>
      </x:c>
      <x:c r="D2" s="24" t="str">
        <x:v>PROVISIONAL</x:v>
      </x:c>
      <x:c r="E2" s="24" t="str">
        <x:v>SmartGun</x:v>
      </x:c>
      <x:c r="F2" s="24" t="str">
        <x:v>Yes for current experiments</x:v>
      </x:c>
      <x:c r="G2" s="24" t="str">
        <x:v>F1–F8 remains AI-normalized/partially validated</x:v>
      </x:c>
    </x:row>
    <x:row r="3">
      <x:c r="A3" s="24" t="str">
        <x:v>Features</x:v>
      </x:c>
      <x:c r="B3" s="24" t="str">
        <x:v>Feature schema</x:v>
      </x:c>
      <x:c r="C3" s="24" t="str">
        <x:v>F1–F8 v0.1 provisional</x:v>
      </x:c>
      <x:c r="D3" s="24" t="str">
        <x:v>PARTIAL / APPROXIMATE</x:v>
      </x:c>
      <x:c r="E3" s="24" t="n">
        <x:v>8</x:v>
      </x:c>
      <x:c r="F3" s="24" t="str">
        <x:v>Yes for current experiments</x:v>
      </x:c>
      <x:c r="G3" s="24" t="str">
        <x:v>Underlying concepts reviewed; exact F-number schema not line-by-line signed off</x:v>
      </x:c>
    </x:row>
    <x:row r="4">
      <x:c r="A4" s="24" t="str">
        <x:v>Ground Truth</x:v>
      </x:c>
      <x:c r="B4" s="24" t="str">
        <x:v>Known-good set</x:v>
      </x:c>
      <x:c r="C4" s="24" t="str">
        <x:v>GOLD-10</x:v>
      </x:c>
      <x:c r="D4" s="24" t="str">
        <x:v>CONFIRMED</x:v>
      </x:c>
      <x:c r="E4" s="24" t="n">
        <x:v>10</x:v>
      </x:c>
      <x:c r="F4" s="24" t="str">
        <x:v>Yes</x:v>
      </x:c>
      <x:c r="G4" s="24" t="str">
        <x:v>Known-good set, not exhaustive universe</x:v>
      </x:c>
    </x:row>
    <x:row r="5">
      <x:c r="A5" s="24" t="str">
        <x:v>Ground Truth</x:v>
      </x:c>
      <x:c r="B5" s="24" t="str">
        <x:v>Additional judged set</x:v>
      </x:c>
      <x:c r="C5" s="24" t="str">
        <x:v>ADDITIONAL-JUDGED-5</x:v>
      </x:c>
      <x:c r="D5" s="24" t="str">
        <x:v>PARTIAL</x:v>
      </x:c>
      <x:c r="E5" s="24" t="n">
        <x:v>5</x:v>
      </x:c>
      <x:c r="F5" s="24" t="str">
        <x:v>Yes</x:v>
      </x:c>
      <x:c r="G5" s="24" t="str">
        <x:v>Replaces incorrect LOW-5 label</x:v>
      </x:c>
    </x:row>
    <x:row r="6">
      <x:c r="A6" s="24" t="str">
        <x:v>Ground Truth</x:v>
      </x:c>
      <x:c r="B6" s="24" t="str">
        <x:v>Hard negatives</x:v>
      </x:c>
      <x:c r="C6" s="24" t="str">
        <x:v>NEG-5</x:v>
      </x:c>
      <x:c r="D6" s="24" t="str">
        <x:v>CONFIRMED membership</x:v>
      </x:c>
      <x:c r="E6" s="24" t="n">
        <x:v>5</x:v>
      </x:c>
      <x:c r="F6" s="24" t="str">
        <x:v>Yes</x:v>
      </x:c>
      <x:c r="G6" s="24" t="str">
        <x:v>Formal later per-item N not frozen for all</x:v>
      </x:c>
    </x:row>
    <x:row r="7">
      <x:c r="A7" s="24" t="str">
        <x:v>Historical Retrieval</x:v>
      </x:c>
      <x:c r="B7" s="24" t="str">
        <x:v>Initial Query B snapshot</x:v>
      </x:c>
      <x:c r="C7" s="24" t="str">
        <x:v>RUN-005A</x:v>
      </x:c>
      <x:c r="D7" s="24" t="str">
        <x:v>CONFIRMED count / partial exact execution</x:v>
      </x:c>
      <x:c r="E7" s="24" t="n">
        <x:v>3091</x:v>
      </x:c>
      <x:c r="F7" s="24" t="str">
        <x:v>Yes</x:v>
      </x:c>
      <x:c r="G7" s="24" t="str">
        <x:v>10D described; no ordered export preserved</x:v>
      </x:c>
    </x:row>
    <x:row r="8">
      <x:c r="A8" s="24" t="str">
        <x:v>Historical Retrieval</x:v>
      </x:c>
      <x:c r="B8" s="24" t="str">
        <x:v>Human Query A</x:v>
      </x:c>
      <x:c r="C8" s="24" t="str">
        <x:v>RUN-006</x:v>
      </x:c>
      <x:c r="D8" s="24" t="str">
        <x:v>CONFIRMED count</x:v>
      </x:c>
      <x:c r="E8" s="24" t="n">
        <x:v>799</x:v>
      </x:c>
      <x:c r="F8" s="24" t="str">
        <x:v>Yes</x:v>
      </x:c>
      <x:c r="G8" s="24" t="str">
        <x:v>6/10 GOLD; field provenance inconsistent</x:v>
      </x:c>
    </x:row>
    <x:row r="9">
      <x:c r="A9" s="24" t="str">
        <x:v>Historical Evaluation</x:v>
      </x:c>
      <x:c r="B9" s="24" t="str">
        <x:v>A+B union</x:v>
      </x:c>
      <x:c r="C9" s="24" t="str">
        <x:v>EXP-007</x:v>
      </x:c>
      <x:c r="D9" s="24" t="str">
        <x:v>CONFIRMED original snapshots</x:v>
      </x:c>
      <x:c r="E9" s="24" t="n">
        <x:v>3748</x:v>
      </x:c>
      <x:c r="F9" s="24" t="str">
        <x:v>Yes</x:v>
      </x:c>
      <x:c r="G9" s="24" t="str">
        <x:v>7/10 GOLD; do not mix with RUN-012</x:v>
      </x:c>
    </x:row>
    <x:row r="10">
      <x:c r="A10" s="24" t="str">
        <x:v>Current Retrieval Baseline</x:v>
      </x:c>
      <x:c r="B10" s="24" t="str">
        <x:v>Query B-like AND variant</x:v>
      </x:c>
      <x:c r="C10" s="24" t="str">
        <x:v>RUN-012</x:v>
      </x:c>
      <x:c r="D10" s="24" t="str">
        <x:v>CONFIRMED</x:v>
      </x:c>
      <x:c r="E10" s="24" t="n">
        <x:v>3238</x:v>
      </x:c>
      <x:c r="F10" s="24" t="str">
        <x:v>Yes</x:v>
      </x:c>
      <x:c r="G10" s="24" t="str">
        <x:v>2026-09-16 complete export; 6/10 GOLD</x:v>
      </x:c>
    </x:row>
    <x:row r="11">
      <x:c r="A11" s="24" t="str">
        <x:v>Current V0 Metric</x:v>
      </x:c>
      <x:c r="B11" s="24" t="str">
        <x:v>Recall@50</x:v>
      </x:c>
      <x:c r="C11" s="24" t="str">
        <x:v>RUN-012</x:v>
      </x:c>
      <x:c r="D11" s="24" t="str">
        <x:v>CONFIRMED</x:v>
      </x:c>
      <x:c r="E11" s="24" t="str">
        <x:v>2/10</x:v>
      </x:c>
      <x:c r="F11" s="24" t="str">
        <x:v>Yes</x:v>
      </x:c>
      <x:c r="G11" s="24" t="str">
        <x:v>20%</x:v>
      </x:c>
    </x:row>
    <x:row r="12">
      <x:c r="A12" s="24" t="str">
        <x:v>Current V0 Metric</x:v>
      </x:c>
      <x:c r="B12" s="24" t="str">
        <x:v>Recall@100</x:v>
      </x:c>
      <x:c r="C12" s="24" t="str">
        <x:v>RUN-012</x:v>
      </x:c>
      <x:c r="D12" s="24" t="str">
        <x:v>CONFIRMED</x:v>
      </x:c>
      <x:c r="E12" s="24" t="str">
        <x:v>2/10</x:v>
      </x:c>
      <x:c r="F12" s="24" t="str">
        <x:v>Yes</x:v>
      </x:c>
      <x:c r="G12" s="24" t="str">
        <x:v>20%</x:v>
      </x:c>
    </x:row>
    <x:row r="13">
      <x:c r="A13" s="24" t="str">
        <x:v>Current V1 Metric</x:v>
      </x:c>
      <x:c r="B13" s="24" t="str">
        <x:v>Recall@50</x:v>
      </x:c>
      <x:c r="C13" s="24" t="str">
        <x:v>EXP-013</x:v>
      </x:c>
      <x:c r="D13" s="24" t="str">
        <x:v>CONFIRMED</x:v>
      </x:c>
      <x:c r="E13" s="24" t="str">
        <x:v>2/10</x:v>
      </x:c>
      <x:c r="F13" s="24" t="str">
        <x:v>Yes</x:v>
      </x:c>
      <x:c r="G13" s="24" t="str">
        <x:v>20%</x:v>
      </x:c>
    </x:row>
    <x:row r="14">
      <x:c r="A14" s="24" t="str">
        <x:v>Current V1 Metric</x:v>
      </x:c>
      <x:c r="B14" s="24" t="str">
        <x:v>Recall@100</x:v>
      </x:c>
      <x:c r="C14" s="24" t="str">
        <x:v>EXP-013</x:v>
      </x:c>
      <x:c r="D14" s="24" t="str">
        <x:v>CONFIRMED</x:v>
      </x:c>
      <x:c r="E14" s="24" t="str">
        <x:v>4/10</x:v>
      </x:c>
      <x:c r="F14" s="24" t="str">
        <x:v>Yes</x:v>
      </x:c>
      <x:c r="G14" s="24" t="str">
        <x:v>40%</x:v>
      </x:c>
    </x:row>
    <x:row r="15">
      <x:c r="A15" s="24" t="str">
        <x:v>Current V1 Metric</x:v>
      </x:c>
      <x:c r="B15" s="24" t="str">
        <x:v>Median rank of retrieved GOLD</x:v>
      </x:c>
      <x:c r="C15" s="24" t="str">
        <x:v>EXP-013</x:v>
      </x:c>
      <x:c r="D15" s="24" t="str">
        <x:v>CONFIRMED</x:v>
      </x:c>
      <x:c r="E15" s="24" t="str">
        <x:v>90.5</x:v>
      </x:c>
      <x:c r="F15" s="24" t="str">
        <x:v>Yes</x:v>
      </x:c>
      <x:c r="G15" s="24" t="str">
        <x:v>Improved from 492</x:v>
      </x:c>
    </x:row>
    <x:row r="16" ht="65" customHeight="1">
      <x:c r="A16" s="24" t="str">
        <x:v>Pending Validation</x:v>
      </x:c>
      <x:c r="B16" s="24" t="str">
        <x:v>V1 top-20 adjudication</x:v>
      </x:c>
      <x:c r="C16" s="24" t="str">
        <x:v>PA-001</x:v>
      </x:c>
      <x:c r="D16" s="24" t="str">
        <x:v>COMPLETED</x:v>
      </x:c>
      <x:c r="E16" s="24" t="n">
        <x:v>20</x:v>
      </x:c>
      <x:c r="F16" s="24" t="str">
        <x:v>No</x:v>
      </x:c>
      <x:c r="G16" s="24" t="str">
        <x:v>PA-001 completed: 18 analyst decisions + 2 GOLD. V0 comparative adjudication and net-new report comparison remain outstanding.</x:v>
      </x:c>
    </x:row>
    <x:row r="17">
      <x:c r="A17" s="24" t="str">
        <x:v>Historical Effort</x:v>
      </x:c>
      <x:c r="B17" s="24" t="str">
        <x:v>Analyst search/review/report</x:v>
      </x:c>
      <x:c r="C17" s="24" t="str">
        <x:v>HIST-000</x:v>
      </x:c>
      <x:c r="D17" s="24" t="str">
        <x:v>CONFIRMED approx.</x:v>
      </x:c>
      <x:c r="E17" s="24" t="str">
        <x:v>~5 days</x:v>
      </x:c>
      <x:c r="F17" s="24" t="str">
        <x:v>Yes</x:v>
      </x:c>
      <x:c r="G17" s="24" t="str">
        <x:v>~4 search/review + ~1 report</x:v>
      </x:c>
    </x:row>
    <x:row r="18">
      <x:c r="A18" s="24" t="str">
        <x:v>Historical Effort</x:v>
      </x:c>
      <x:c r="B18" s="24" t="str">
        <x:v>Patents/families reviewed</x:v>
      </x:c>
      <x:c r="C18" s="24" t="str">
        <x:v>HIST-000</x:v>
      </x:c>
      <x:c r="D18" s="24" t="str">
        <x:v>APPROXIMATE</x:v>
      </x:c>
      <x:c r="E18" s="24" t="str">
        <x:v>~2,000–3,000</x:v>
      </x:c>
      <x:c r="F18" s="24" t="str">
        <x:v>Yes</x:v>
      </x:c>
      <x:c r="G18" s="24" t="str">
        <x:v>Analyst estimate</x:v>
      </x:c>
    </x:row>
    <x:row r="19">
      <x:c r="A19" s="24" t="str">
        <x:v>Historical Effort</x:v>
      </x:c>
      <x:c r="B19" s="24" t="str">
        <x:v>Historical query count</x:v>
      </x:c>
      <x:c r="C19" s="24" t="str">
        <x:v>HIST-000</x:v>
      </x:c>
      <x:c r="D19" s="24" t="str">
        <x:v>APPROXIMATE</x:v>
      </x:c>
      <x:c r="E19" s="24" t="str">
        <x:v>~12–15</x:v>
      </x:c>
      <x:c r="F19" s="24" t="str">
        <x:v>Yes</x:v>
      </x:c>
      <x:c r="G19" s="24" t="str">
        <x:v>Across multiple tools/methods</x:v>
      </x:c>
    </x:row>
    <x:row r="20">
      <x:c r="A20" s="24"/>
      <x:c r="B20" s="24"/>
      <x:c r="C20" s="24"/>
      <x:c r="D20" s="24"/>
      <x:c r="E20" s="24"/>
      <x:c r="F20" s="24"/>
      <x:c r="G20" s="24"/>
    </x:row>
    <x:row r="21">
      <x:c r="A21" s="24"/>
      <x:c r="B21" s="24"/>
      <x:c r="C21" s="24"/>
      <x:c r="D21" s="24"/>
      <x:c r="E21" s="24"/>
      <x:c r="F21" s="24"/>
      <x:c r="G21" s="24"/>
    </x:row>
    <x:row r="22">
      <x:c r="A22" s="24"/>
      <x:c r="B22" s="24"/>
      <x:c r="C22" s="24"/>
      <x:c r="D22" s="24"/>
      <x:c r="E22" s="24"/>
      <x:c r="F22" s="24"/>
      <x:c r="G22" s="24"/>
    </x:row>
    <x:row r="23">
      <x:c r="A23" s="24"/>
      <x:c r="B23" s="24"/>
      <x:c r="C23" s="24"/>
      <x:c r="D23" s="24"/>
      <x:c r="E23" s="24"/>
      <x:c r="F23" s="24"/>
      <x:c r="G23" s="24"/>
    </x:row>
    <x:row r="24">
      <x:c r="A24" s="24"/>
      <x:c r="B24" s="24"/>
      <x:c r="C24" s="24"/>
      <x:c r="D24" s="24"/>
      <x:c r="E24" s="24"/>
      <x:c r="F24" s="24"/>
      <x:c r="G24" s="24"/>
    </x:row>
    <x:row r="25">
      <x:c r="A25" s="24"/>
      <x:c r="B25" s="24"/>
      <x:c r="C25" s="24"/>
      <x:c r="D25" s="24"/>
      <x:c r="E25" s="24"/>
      <x:c r="F25" s="24"/>
      <x:c r="G25" s="24"/>
    </x:row>
    <x:row r="26">
      <x:c r="A26" s="24"/>
      <x:c r="B26" s="24"/>
      <x:c r="C26" s="24"/>
      <x:c r="D26" s="24"/>
      <x:c r="E26" s="24"/>
      <x:c r="F26" s="24"/>
      <x:c r="G26" s="24"/>
    </x:row>
    <x:row r="27">
      <x:c r="A27" s="24"/>
      <x:c r="B27" s="24"/>
      <x:c r="C27" s="24"/>
      <x:c r="D27" s="24"/>
      <x:c r="E27" s="24"/>
      <x:c r="F27" s="24"/>
      <x:c r="G27" s="24"/>
    </x:row>
    <x:row r="28">
      <x:c r="A28" s="24"/>
      <x:c r="B28" s="24"/>
      <x:c r="C28" s="24"/>
      <x:c r="D28" s="24"/>
      <x:c r="E28" s="24"/>
      <x:c r="F28" s="24"/>
      <x:c r="G28" s="24"/>
    </x:row>
    <x:row r="29">
      <x:c r="A29" s="24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  <x:row r="31">
      <x:c r="A31" s="24"/>
      <x:c r="B31" s="24"/>
      <x:c r="C31" s="24"/>
      <x:c r="D31" s="24"/>
      <x:c r="E31" s="24"/>
      <x:c r="F31" s="24"/>
      <x:c r="G31" s="24"/>
    </x:row>
    <x:row r="32">
      <x:c r="A32" s="24"/>
      <x:c r="B32" s="24"/>
      <x:c r="C32" s="24"/>
      <x:c r="D32" s="24"/>
      <x:c r="E32" s="24"/>
      <x:c r="F32" s="24"/>
      <x:c r="G32" s="24"/>
    </x:row>
    <x:row r="33">
      <x:c r="A33" s="24"/>
      <x:c r="B33" s="24"/>
      <x:c r="C33" s="24"/>
      <x:c r="D33" s="24"/>
      <x:c r="E33" s="24"/>
      <x:c r="F33" s="24"/>
      <x:c r="G33" s="24"/>
    </x:row>
    <x:row r="34">
      <x:c r="A34" s="24"/>
      <x:c r="B34" s="24"/>
      <x:c r="C34" s="24"/>
      <x:c r="D34" s="24"/>
      <x:c r="E34" s="24"/>
      <x:c r="F34" s="24"/>
      <x:c r="G34" s="24"/>
    </x:row>
    <x:row r="35">
      <x:c r="A35" s="24"/>
      <x:c r="B35" s="24"/>
      <x:c r="C35" s="24"/>
      <x:c r="D35" s="24"/>
      <x:c r="E35" s="24"/>
      <x:c r="F35" s="24"/>
      <x:c r="G35" s="24"/>
    </x:row>
    <x:row r="36">
      <x:c r="A36" s="24"/>
      <x:c r="B36" s="24"/>
      <x:c r="C36" s="24"/>
      <x:c r="D36" s="24"/>
      <x:c r="E36" s="24"/>
      <x:c r="F36" s="24"/>
      <x:c r="G36" s="24"/>
    </x:row>
    <x:row r="37">
      <x:c r="A37" s="24"/>
      <x:c r="B37" s="24"/>
      <x:c r="C37" s="24"/>
      <x:c r="D37" s="24"/>
      <x:c r="E37" s="24"/>
      <x:c r="F37" s="24"/>
      <x:c r="G37" s="24"/>
    </x:row>
    <x:row r="38">
      <x:c r="A38" s="24"/>
      <x:c r="B38" s="24"/>
      <x:c r="C38" s="24"/>
      <x:c r="D38" s="24"/>
      <x:c r="E38" s="24"/>
      <x:c r="F38" s="24"/>
      <x:c r="G38" s="24"/>
    </x:row>
    <x:row r="39">
      <x:c r="A39" s="24"/>
      <x:c r="B39" s="24"/>
      <x:c r="C39" s="24"/>
      <x:c r="D39" s="24"/>
      <x:c r="E39" s="24"/>
      <x:c r="F39" s="24"/>
      <x:c r="G39" s="24"/>
    </x:row>
    <x:row r="40">
      <x:c r="A40" s="24"/>
      <x:c r="B40" s="24"/>
      <x:c r="C40" s="24"/>
      <x:c r="D40" s="24"/>
      <x:c r="E40" s="24"/>
      <x:c r="F40" s="24"/>
      <x:c r="G40" s="24"/>
    </x:row>
    <x:row r="41">
      <x:c r="A41" s="24"/>
      <x:c r="B41" s="24"/>
      <x:c r="C41" s="24"/>
      <x:c r="D41" s="24"/>
      <x:c r="E41" s="24"/>
      <x:c r="F41" s="24"/>
      <x:c r="G41" s="24"/>
    </x:row>
    <x:row r="42">
      <x:c r="A42" s="24"/>
      <x:c r="B42" s="24"/>
      <x:c r="C42" s="24"/>
      <x:c r="D42" s="24"/>
      <x:c r="E42" s="24"/>
      <x:c r="F42" s="24"/>
      <x:c r="G42" s="24"/>
    </x:row>
    <x:row r="43">
      <x:c r="A43" s="24"/>
      <x:c r="B43" s="24"/>
      <x:c r="C43" s="24"/>
      <x:c r="D43" s="24"/>
      <x:c r="E43" s="24"/>
      <x:c r="F43" s="24"/>
      <x:c r="G43" s="24"/>
    </x:row>
    <x:row r="44">
      <x:c r="A44" s="24"/>
      <x:c r="B44" s="24"/>
      <x:c r="C44" s="24"/>
      <x:c r="D44" s="24"/>
      <x:c r="E44" s="24"/>
      <x:c r="F44" s="24"/>
      <x:c r="G44" s="24"/>
    </x:row>
    <x:row r="45">
      <x:c r="A45" s="24"/>
      <x:c r="B45" s="24"/>
      <x:c r="C45" s="24"/>
      <x:c r="D45" s="24"/>
      <x:c r="E45" s="24"/>
      <x:c r="F45" s="24"/>
      <x:c r="G45" s="24"/>
    </x:row>
    <x:row r="46">
      <x:c r="A46" s="24"/>
      <x:c r="B46" s="24"/>
      <x:c r="C46" s="24"/>
      <x:c r="D46" s="24"/>
      <x:c r="E46" s="24"/>
      <x:c r="F46" s="24"/>
      <x:c r="G46" s="24"/>
    </x:row>
    <x:row r="47">
      <x:c r="A47" s="24"/>
      <x:c r="B47" s="24"/>
      <x:c r="C47" s="24"/>
      <x:c r="D47" s="24"/>
      <x:c r="E47" s="24"/>
      <x:c r="F47" s="24"/>
      <x:c r="G47" s="24"/>
    </x:row>
    <x:row r="48">
      <x:c r="A48" s="24"/>
      <x:c r="B48" s="24"/>
      <x:c r="C48" s="24"/>
      <x:c r="D48" s="24"/>
      <x:c r="E48" s="24"/>
      <x:c r="F48" s="24"/>
      <x:c r="G48" s="24"/>
    </x:row>
    <x:row r="49">
      <x:c r="A49" s="24"/>
      <x:c r="B49" s="24"/>
      <x:c r="C49" s="24"/>
      <x:c r="D49" s="24"/>
      <x:c r="E49" s="24"/>
      <x:c r="F49" s="24"/>
      <x:c r="G49" s="24"/>
    </x:row>
    <x:row r="50">
      <x:c r="A50" s="24"/>
      <x:c r="B50" s="24"/>
      <x:c r="C50" s="24"/>
      <x:c r="D50" s="24"/>
      <x:c r="E50" s="24"/>
      <x:c r="F50" s="24"/>
      <x:c r="G50" s="24"/>
    </x:row>
  </x:sheetData>
  <x:pageMargins left="0.7" right="0.7" top="0.75" bottom="0.75" header="0.3" footer="0.3"/>
  <x:tableParts count="1">
    <x:tablePart xmlns:r="http://schemas.openxmlformats.org/officeDocument/2006/relationships" r:id="Ra05ca7f7fd1c48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6" hidden="0" customWidth="1"/>
    <x:col min="5" max="5" width="22" hidden="0" customWidth="1"/>
    <x:col min="6" max="6" width="12" hidden="0" customWidth="1"/>
    <x:col min="7" max="7" width="48" hidden="0" customWidth="1"/>
  </x:cols>
  <x:sheetData>
    <x:row r="1">
      <x:c r="A1" s="38" t="str">
        <x:v>Component</x:v>
      </x:c>
      <x:c r="B1" s="38" t="str">
        <x:v>Current Proposed Version</x:v>
      </x:c>
      <x:c r="C1" s="38" t="str">
        <x:v>Validation Status</x:v>
      </x:c>
      <x:c r="D1" s="38" t="str">
        <x:v>Purpose</x:v>
      </x:c>
      <x:c r="E1" s="38" t="str">
        <x:v>Source Experiment</x:v>
      </x:c>
      <x:c r="F1" s="38" t="str">
        <x:v>Champion?</x:v>
      </x:c>
      <x:c r="G1" s="38" t="str">
        <x:v>Known Limitations</x:v>
      </x:c>
    </x:row>
    <x:row r="2">
      <x:c r="A2" s="24" t="str">
        <x:v>Feature Extractor</x:v>
      </x:c>
      <x:c r="B2" s="24" t="str">
        <x:v>fe_v0.2_bc001_corrected</x:v>
      </x:c>
      <x:c r="C2" s="24" t="str">
        <x:v>Partially validated</x:v>
      </x:c>
      <x:c r="D2" s="24" t="str">
        <x:v>Disclosure → structured feature state</x:v>
      </x:c>
      <x:c r="E2" s="24" t="str">
        <x:v>EXP-001</x:v>
      </x:c>
      <x:c r="F2" s="24" t="str">
        <x:v>No</x:v>
      </x:c>
      <x:c r="G2" s="24" t="str">
        <x:v>One hallucinated feature removed; exact F1–F8 schema not independently signed off; no cross-case test</x:v>
      </x:c>
    </x:row>
    <x:row r="3">
      <x:c r="A3" s="24" t="str">
        <x:v>Terminology Engine</x:v>
      </x:c>
      <x:c r="B3" s="24" t="str">
        <x:v>te_v0.3_seed_grounded_candidate</x:v>
      </x:c>
      <x:c r="C3" s="24" t="str">
        <x:v>Analyst-preferred; retrieval-unvalidated</x:v>
      </x:c>
      <x:c r="D3" s="24" t="str">
        <x:v>Ground search vocabulary in patent language</x:v>
      </x:c>
      <x:c r="E3" s="24" t="str">
        <x:v>EXP-008</x:v>
      </x:c>
      <x:c r="F3" s="24" t="str">
        <x:v>No</x:v>
      </x:c>
      <x:c r="G3" s="24" t="str">
        <x:v>No controlled Orbit run measured impact; depends on relevant seed access</x:v>
      </x:c>
    </x:row>
    <x:row r="4">
      <x:c r="A4" s="24" t="str">
        <x:v>Query Planner</x:v>
      </x:c>
      <x:c r="B4" s="24" t="str">
        <x:v>qp_v0.2_query_b_baseline</x:v>
      </x:c>
      <x:c r="C4" s="24" t="str">
        <x:v>Executed but analyst-rated weak</x:v>
      </x:c>
      <x:c r="D4" s="24" t="str">
        <x:v>Generate Orbit search strategy/queries</x:v>
      </x:c>
      <x:c r="E4" s="24" t="str">
        <x:v>EXP-005 / RUN-005A</x:v>
      </x:c>
      <x:c r="F4" s="24" t="str">
        <x:v>No</x:v>
      </x:c>
      <x:c r="G4" s="24" t="str">
        <x:v>Incomplete synonyms, syntax repair, noise control issues; 3,091 vs 3,238 provenance mismatch</x:v>
      </x:c>
    </x:row>
    <x:row r="5">
      <x:c r="A5" s="24" t="str">
        <x:v>Retrieval</x:v>
      </x:c>
      <x:c r="B5" s="24" t="str">
        <x:v>retrieval_v0.1_fampat_20260916_and_variant</x:v>
      </x:c>
      <x:c r="C5" s="24" t="str">
        <x:v>Fully executed and frozen</x:v>
      </x:c>
      <x:c r="D5" s="24" t="str">
        <x:v>Retrieve candidate families from FAMPAT</x:v>
      </x:c>
      <x:c r="E5" s="24" t="str">
        <x:v>RUN-012</x:v>
      </x:c>
      <x:c r="F5" s="24" t="str">
        <x:v>No</x:v>
      </x:c>
      <x:c r="G5" s="24" t="str">
        <x:v>Single query; 6/10 GOLD; 4 GOLD absent; live database changes</x:v>
      </x:c>
    </x:row>
    <x:row r="6" ht="90" customHeight="1">
      <x:c r="A6" s="24" t="str">
        <x:v>Relevance Scorer</x:v>
      </x:c>
      <x:c r="B6" s="24" t="str">
        <x:v>rs_v0.2_blind_ta_rerank</x:v>
      </x:c>
      <x:c r="C6" s="24" t="str">
        <x:v>HOLD / INCONCLUSIVE</x:v>
      </x:c>
      <x:c r="D6" s="24" t="str">
        <x:v>Rank retrieved families</x:v>
      </x:c>
      <x:c r="E6" s="24" t="str">
        <x:v>EXP-013</x:v>
      </x:c>
      <x:c r="F6" s="24" t="str">
        <x:v>No</x:v>
      </x:c>
      <x:c r="G6" s="24" t="str">
        <x:v>V1 top 20 adjudicated; V0 comparison pending; three report-family groups differ from Questel IDs; model/version and label calibration limitations remain</x:v>
      </x:c>
    </x:row>
    <x:row r="7">
      <x:c r="A7" s="24" t="str">
        <x:v>Evidence Extractor</x:v>
      </x:c>
      <x:c r="B7" s="24" t="str">
        <x:v>ee_v0.1_fulltext_passage_assist</x:v>
      </x:c>
      <x:c r="C7" s="24" t="str">
        <x:v>Partially validated on 5 patents</x:v>
      </x:c>
      <x:c r="D7" s="24" t="str">
        <x:v>Support analyst review with passages/reasoning</x:v>
      </x:c>
      <x:c r="E7" s="24" t="str">
        <x:v>EXP-011</x:v>
      </x:c>
      <x:c r="F7" s="24" t="str">
        <x:v>No</x:v>
      </x:c>
      <x:c r="G7" s="24" t="str">
        <x:v>Small validation sample; inference needs explicit paragraph/reasoning</x:v>
      </x:c>
    </x:row>
    <x:row r="8">
      <x:c r="A8" s="24" t="str">
        <x:v>Search Controller</x:v>
      </x:c>
      <x:c r="B8" s="24" t="str">
        <x:v>sc_v0.0_analyst_sop_spec</x:v>
      </x:c>
      <x:c r="C8" s="24" t="str">
        <x:v>Requirements only; not implemented</x:v>
      </x:c>
      <x:c r="D8" s="24" t="str">
        <x:v>Broaden/narrow/seed/stop decision logic</x:v>
      </x:c>
      <x:c r="E8" s="24" t="str">
        <x:v>EXP-003</x:v>
      </x:c>
      <x:c r="F8" s="24" t="str">
        <x:v>No</x:v>
      </x:c>
      <x:c r="G8" s="24" t="str">
        <x:v>No autonomous loop validated</x:v>
      </x:c>
    </x:row>
    <x:row r="9" ht="50" customHeight="1">
      <x:c r="A9" s="52" t="str">
        <x:v>Relevance Scorer (challenger)</x:v>
      </x:c>
      <x:c r="B9" s="52" t="str">
        <x:v>rs_v0.3_feature_aware_ta</x:v>
      </x:c>
      <x:c r="C9" s="52" t="str">
        <x:v>REJECT; challenger only</x:v>
      </x:c>
      <x:c r="D9" s="52" t="str">
        <x:v>Feature-aware title/abstract ranking</x:v>
      </x:c>
      <x:c r="E9" s="52" t="str">
        <x:v>EXP-016A</x:v>
      </x:c>
      <x:c r="F9" s="52" t="str">
        <x:v>No</x:v>
      </x:c>
      <x:c r="G9" s="52" t="str">
        <x:v>Recall@20 1/10; median GOLD rank 142.5. Rule-based extraction; no promotion.</x:v>
      </x:c>
    </x:row>
    <x:row r="10">
      <x:c r="A10" s="24"/>
      <x:c r="B10" s="24"/>
      <x:c r="C10" s="24"/>
      <x:c r="D10" s="24"/>
      <x:c r="E10" s="24"/>
      <x:c r="F10" s="24"/>
      <x:c r="G10" s="24"/>
    </x:row>
    <x:row r="11">
      <x:c r="A11" s="24"/>
      <x:c r="B11" s="24"/>
      <x:c r="C11" s="24"/>
      <x:c r="D11" s="24"/>
      <x:c r="E11" s="24"/>
      <x:c r="F11" s="24"/>
      <x:c r="G11" s="24"/>
    </x:row>
    <x:row r="12">
      <x:c r="A12" s="24"/>
      <x:c r="B12" s="24"/>
      <x:c r="C12" s="24"/>
      <x:c r="D12" s="24"/>
      <x:c r="E12" s="24"/>
      <x:c r="F12" s="24"/>
      <x:c r="G12" s="24"/>
    </x:row>
    <x:row r="13">
      <x:c r="A13" s="24"/>
      <x:c r="B13" s="24"/>
      <x:c r="C13" s="24"/>
      <x:c r="D13" s="24"/>
      <x:c r="E13" s="24"/>
      <x:c r="F13" s="24"/>
      <x:c r="G13" s="24"/>
    </x:row>
    <x:row r="14">
      <x:c r="A14" s="24"/>
      <x:c r="B14" s="24"/>
      <x:c r="C14" s="24"/>
      <x:c r="D14" s="24"/>
      <x:c r="E14" s="24"/>
      <x:c r="F14" s="24"/>
      <x:c r="G14" s="24"/>
    </x:row>
    <x:row r="15">
      <x:c r="A15" s="24"/>
      <x:c r="B15" s="24"/>
      <x:c r="C15" s="24"/>
      <x:c r="D15" s="24"/>
      <x:c r="E15" s="24"/>
      <x:c r="F15" s="24"/>
      <x:c r="G15" s="24"/>
    </x:row>
    <x:row r="16">
      <x:c r="A16" s="24"/>
      <x:c r="B16" s="24"/>
      <x:c r="C16" s="24"/>
      <x:c r="D16" s="24"/>
      <x:c r="E16" s="24"/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24"/>
      <x:c r="B19" s="24"/>
      <x:c r="C19" s="24"/>
      <x:c r="D19" s="24"/>
      <x:c r="E19" s="24"/>
      <x:c r="F19" s="24"/>
      <x:c r="G19" s="24"/>
    </x:row>
    <x:row r="20">
      <x:c r="A20" s="24"/>
      <x:c r="B20" s="24"/>
      <x:c r="C20" s="24"/>
      <x:c r="D20" s="24"/>
      <x:c r="E20" s="24"/>
      <x:c r="F20" s="24"/>
      <x:c r="G20" s="24"/>
    </x:row>
    <x:row r="21">
      <x:c r="A21" s="24"/>
      <x:c r="B21" s="24"/>
      <x:c r="C21" s="24"/>
      <x:c r="D21" s="24"/>
      <x:c r="E21" s="24"/>
      <x:c r="F21" s="24"/>
      <x:c r="G21" s="24"/>
    </x:row>
    <x:row r="22">
      <x:c r="A22" s="24"/>
      <x:c r="B22" s="24"/>
      <x:c r="C22" s="24"/>
      <x:c r="D22" s="24"/>
      <x:c r="E22" s="24"/>
      <x:c r="F22" s="24"/>
      <x:c r="G22" s="24"/>
    </x:row>
    <x:row r="23">
      <x:c r="A23" s="24"/>
      <x:c r="B23" s="24"/>
      <x:c r="C23" s="24"/>
      <x:c r="D23" s="24"/>
      <x:c r="E23" s="24"/>
      <x:c r="F23" s="24"/>
      <x:c r="G23" s="24"/>
    </x:row>
    <x:row r="24">
      <x:c r="A24" s="24"/>
      <x:c r="B24" s="24"/>
      <x:c r="C24" s="24"/>
      <x:c r="D24" s="24"/>
      <x:c r="E24" s="24"/>
      <x:c r="F24" s="24"/>
      <x:c r="G24" s="24"/>
    </x:row>
    <x:row r="25">
      <x:c r="A25" s="24"/>
      <x:c r="B25" s="24"/>
      <x:c r="C25" s="24"/>
      <x:c r="D25" s="24"/>
      <x:c r="E25" s="24"/>
      <x:c r="F25" s="24"/>
      <x:c r="G25" s="24"/>
    </x:row>
    <x:row r="26">
      <x:c r="A26" s="24"/>
      <x:c r="B26" s="24"/>
      <x:c r="C26" s="24"/>
      <x:c r="D26" s="24"/>
      <x:c r="E26" s="24"/>
      <x:c r="F26" s="24"/>
      <x:c r="G26" s="24"/>
    </x:row>
    <x:row r="27">
      <x:c r="A27" s="24"/>
      <x:c r="B27" s="24"/>
      <x:c r="C27" s="24"/>
      <x:c r="D27" s="24"/>
      <x:c r="E27" s="24"/>
      <x:c r="F27" s="24"/>
      <x:c r="G27" s="24"/>
    </x:row>
    <x:row r="28">
      <x:c r="A28" s="24"/>
      <x:c r="B28" s="24"/>
      <x:c r="C28" s="24"/>
      <x:c r="D28" s="24"/>
      <x:c r="E28" s="24"/>
      <x:c r="F28" s="24"/>
      <x:c r="G28" s="24"/>
    </x:row>
    <x:row r="29">
      <x:c r="A29" s="24"/>
      <x:c r="B29" s="24"/>
      <x:c r="C29" s="24"/>
      <x:c r="D29" s="24"/>
      <x:c r="E29" s="24"/>
      <x:c r="F29" s="24"/>
      <x:c r="G29" s="24"/>
    </x:row>
    <x:row r="30">
      <x:c r="A30" s="24"/>
      <x:c r="B30" s="24"/>
      <x:c r="C30" s="24"/>
      <x:c r="D30" s="24"/>
      <x:c r="E30" s="24"/>
      <x:c r="F30" s="24"/>
      <x:c r="G30" s="24"/>
    </x:row>
  </x:sheetData>
  <x:pageMargins left="0.7" right="0.7" top="0.75" bottom="0.75" header="0.3" footer="0.3"/>
  <x:tableParts count="1">
    <x:tablePart xmlns:r="http://schemas.openxmlformats.org/officeDocument/2006/relationships" r:id="R731516e309cf45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6" hidden="0" customWidth="1"/>
    <x:col min="5" max="5" width="32" hidden="0" customWidth="1"/>
  </x:cols>
  <x:sheetData>
    <x:row r="1">
      <x:c r="A1" s="38" t="str">
        <x:v>Metric</x:v>
      </x:c>
      <x:c r="B1" s="38" t="str">
        <x:v>Definition</x:v>
      </x:c>
      <x:c r="C1" s="38" t="str">
        <x:v>Why it matters</x:v>
      </x:c>
      <x:c r="D1" s="38" t="str">
        <x:v>Valid when</x:v>
      </x:c>
      <x:c r="E1" s="38" t="str">
        <x:v>Canonical status</x:v>
      </x:c>
    </x:row>
    <x:row r="2">
      <x:c r="A2" s="24" t="str">
        <x:v>Full-set GOLD recovery</x:v>
      </x:c>
      <x:c r="B2" s="24" t="str">
        <x:v>GOLD-10 families present anywhere in retrieved set / 10</x:v>
      </x:c>
      <x:c r="C2" s="24" t="str">
        <x:v>Separates retrieval coverage from ranking quality</x:v>
      </x:c>
      <x:c r="D2" s="24" t="str">
        <x:v>Frozen result universe + family mapping</x:v>
      </x:c>
      <x:c r="E2" s="24" t="str">
        <x:v>RUN-012 = 6/10</x:v>
      </x:c>
    </x:row>
    <x:row r="3">
      <x:c r="A3" s="24" t="str">
        <x:v>Recall@50</x:v>
      </x:c>
      <x:c r="B3" s="24" t="str">
        <x:v>GOLD-10 families in first 50 / 10</x:v>
      </x:c>
      <x:c r="C3" s="24" t="str">
        <x:v>Measures analyst review budget of 50</x:v>
      </x:c>
      <x:c r="D3" s="24" t="str">
        <x:v>Ordered candidate list exists</x:v>
      </x:c>
      <x:c r="E3" s="24" t="str">
        <x:v>V0 2/10; V1 2/10</x:v>
      </x:c>
    </x:row>
    <x:row r="4">
      <x:c r="A4" s="24" t="str">
        <x:v>Recall@100</x:v>
      </x:c>
      <x:c r="B4" s="24" t="str">
        <x:v>GOLD-10 families in first 100 / 10</x:v>
      </x:c>
      <x:c r="C4" s="24" t="str">
        <x:v>Measures review budget of 100</x:v>
      </x:c>
      <x:c r="D4" s="24" t="str">
        <x:v>Ordered candidate list exists</x:v>
      </x:c>
      <x:c r="E4" s="24" t="str">
        <x:v>V0 2/10; V1 4/10</x:v>
      </x:c>
    </x:row>
    <x:row r="5" ht="80" customHeight="1">
      <x:c r="A5" s="24" t="str">
        <x:v>Publication Precision@20</x:v>
      </x:c>
      <x:c r="B5" s="24" t="str">
        <x:v>Analyst-positive publications among original V1 top 20 / 20; includes two existing GOLD positives</x:v>
      </x:c>
      <x:c r="C5" s="24" t="str">
        <x:v>Measures practical usefulness of top results</x:v>
      </x:c>
      <x:c r="D5" s="24" t="str">
        <x:v>All top-20 outcomes evaluated; identical-content ambiguity must not affect outcomes</x:v>
      </x:c>
      <x:c r="E5" s="24" t="str">
        <x:v>EXP-013: 9/20 = 45%; PA-001 COMPLETED; HOLD pending V0 comparison</x:v>
      </x:c>
    </x:row>
    <x:row r="6">
      <x:c r="A6" s="24" t="str">
        <x:v>Median rank of retrieved GOLD</x:v>
      </x:c>
      <x:c r="B6" s="24" t="str">
        <x:v>Median rank among GOLD families actually present in retrieval set</x:v>
      </x:c>
      <x:c r="C6" s="24" t="str">
        <x:v>Shows ranking compression for known-good art</x:v>
      </x:c>
      <x:c r="D6" s="24" t="str">
        <x:v>Same retrieval universe for V0/V1</x:v>
      </x:c>
      <x:c r="E6" s="24" t="str">
        <x:v>492 → 90.5</x:v>
      </x:c>
    </x:row>
    <x:row r="7">
      <x:c r="A7" s="24" t="str">
        <x:v>Net-new relevant-family yield</x:v>
      </x:c>
      <x:c r="B7" s="24" t="str">
        <x:v>Relevant V1 top families not already in historical known/report set</x:v>
      </x:c>
      <x:c r="C7" s="24" t="str">
        <x:v>Tests discovery value beyond GOLD-10</x:v>
      </x:c>
      <x:c r="D7" s="24" t="str">
        <x:v>Top candidates analyst-adjudicated</x:v>
      </x:c>
      <x:c r="E7" s="24" t="str">
        <x:v>PENDING</x:v>
      </x:c>
    </x:row>
    <x:row r="8">
      <x:c r="A8" s="24" t="str">
        <x:v>Evidence-review time</x:v>
      </x:c>
      <x:c r="B8" s="24" t="str">
        <x:v>Analyst time to review AI evidence vs manual baseline</x:v>
      </x:c>
      <x:c r="C8" s="24" t="str">
        <x:v>Measures human-effort reduction</x:v>
      </x:c>
      <x:c r="D8" s="24" t="str">
        <x:v>Same review task and sample</x:v>
      </x:c>
      <x:c r="E8" s="24" t="str">
        <x:v>~30 min → 10–15 min on 5-patent sample</x:v>
      </x:c>
    </x:row>
    <x:row r="9" ht="95" customHeight="1">
      <x:c r="A9" s="24" t="str">
        <x:v>Family-deduplicated report-inclusion yield@20</x:v>
      </x:c>
      <x:c r="B9" s="24" t="str">
        <x:v>Includable analyst-defined report groups among top-20 records / all analyst-defined report groups</x:v>
      </x:c>
      <x:c r="C9" s="24" t="str">
        <x:v>Separates client-report grouping from publication precision</x:v>
      </x:c>
      <x:c r="D9" s="24" t="str">
        <x:v>Explicit analyst grouping; Questel IDs retained</x:v>
      </x:c>
      <x:c r="E9" s="24" t="str">
        <x:v>EXP-013: 7/17 = 41.2%; not a Questel-family precision estimate</x:v>
      </x:c>
    </x:row>
    <x:row r="10">
      <x:c r="A10" s="24"/>
      <x:c r="B10" s="24"/>
      <x:c r="C10" s="24"/>
      <x:c r="D10" s="24"/>
      <x:c r="E10" s="24"/>
    </x:row>
    <x:row r="11">
      <x:c r="A11" s="24"/>
      <x:c r="B11" s="24"/>
      <x:c r="C11" s="24"/>
      <x:c r="D11" s="24"/>
      <x:c r="E11" s="24"/>
    </x:row>
    <x:row r="12">
      <x:c r="A12" s="24"/>
      <x:c r="B12" s="24"/>
      <x:c r="C12" s="24"/>
      <x:c r="D12" s="24"/>
      <x:c r="E12" s="24"/>
    </x:row>
    <x:row r="13">
      <x:c r="A13" s="24"/>
      <x:c r="B13" s="24"/>
      <x:c r="C13" s="24"/>
      <x:c r="D13" s="24"/>
      <x:c r="E13" s="24"/>
    </x:row>
    <x:row r="14">
      <x:c r="A14" s="24"/>
      <x:c r="B14" s="24"/>
      <x:c r="C14" s="24"/>
      <x:c r="D14" s="24"/>
      <x:c r="E14" s="24"/>
    </x:row>
    <x:row r="15">
      <x:c r="A15" s="24"/>
      <x:c r="B15" s="24"/>
      <x:c r="C15" s="24"/>
      <x:c r="D15" s="24"/>
      <x:c r="E15" s="24"/>
    </x:row>
    <x:row r="16">
      <x:c r="A16" s="24"/>
      <x:c r="B16" s="24"/>
      <x:c r="C16" s="24"/>
      <x:c r="D16" s="24"/>
      <x:c r="E16" s="24"/>
    </x:row>
    <x:row r="17">
      <x:c r="A17" s="24"/>
      <x:c r="B17" s="24"/>
      <x:c r="C17" s="24"/>
      <x:c r="D17" s="24"/>
      <x:c r="E17" s="24"/>
    </x:row>
    <x:row r="18">
      <x:c r="A18" s="24"/>
      <x:c r="B18" s="24"/>
      <x:c r="C18" s="24"/>
      <x:c r="D18" s="24"/>
      <x:c r="E18" s="24"/>
    </x:row>
    <x:row r="19">
      <x:c r="A19" s="24"/>
      <x:c r="B19" s="24"/>
      <x:c r="C19" s="24"/>
      <x:c r="D19" s="24"/>
      <x:c r="E19" s="24"/>
    </x:row>
    <x:row r="20">
      <x:c r="A20" s="24"/>
      <x:c r="B20" s="24"/>
      <x:c r="C20" s="24"/>
      <x:c r="D20" s="24"/>
      <x:c r="E20" s="24"/>
    </x:row>
    <x:row r="21">
      <x:c r="A21" s="24"/>
      <x:c r="B21" s="24"/>
      <x:c r="C21" s="24"/>
      <x:c r="D21" s="24"/>
      <x:c r="E21" s="24"/>
    </x:row>
    <x:row r="22">
      <x:c r="A22" s="24"/>
      <x:c r="B22" s="24"/>
      <x:c r="C22" s="24"/>
      <x:c r="D22" s="24"/>
      <x:c r="E22" s="24"/>
    </x:row>
    <x:row r="23">
      <x:c r="A23" s="24"/>
      <x:c r="B23" s="24"/>
      <x:c r="C23" s="24"/>
      <x:c r="D23" s="24"/>
      <x:c r="E23" s="24"/>
    </x:row>
    <x:row r="24">
      <x:c r="A24" s="24"/>
      <x:c r="B24" s="24"/>
      <x:c r="C24" s="24"/>
      <x:c r="D24" s="24"/>
      <x:c r="E24" s="24"/>
    </x:row>
    <x:row r="25">
      <x:c r="A25" s="24"/>
      <x:c r="B25" s="24"/>
      <x:c r="C25" s="24"/>
      <x:c r="D25" s="24"/>
      <x:c r="E25" s="24"/>
    </x:row>
    <x:row r="26">
      <x:c r="A26" s="24"/>
      <x:c r="B26" s="24"/>
      <x:c r="C26" s="24"/>
      <x:c r="D26" s="24"/>
      <x:c r="E26" s="24"/>
    </x:row>
    <x:row r="27">
      <x:c r="A27" s="24"/>
      <x:c r="B27" s="24"/>
      <x:c r="C27" s="24"/>
      <x:c r="D27" s="24"/>
      <x:c r="E27" s="24"/>
    </x:row>
    <x:row r="28">
      <x:c r="A28" s="24"/>
      <x:c r="B28" s="24"/>
      <x:c r="C28" s="24"/>
      <x:c r="D28" s="24"/>
      <x:c r="E28" s="24"/>
    </x:row>
    <x:row r="29">
      <x:c r="A29" s="24"/>
      <x:c r="B29" s="24"/>
      <x:c r="C29" s="24"/>
      <x:c r="D29" s="24"/>
      <x:c r="E29" s="24"/>
    </x:row>
    <x:row r="30">
      <x:c r="A30" s="24"/>
      <x:c r="B30" s="24"/>
      <x:c r="C30" s="24"/>
      <x:c r="D30" s="24"/>
      <x:c r="E30" s="24"/>
    </x:row>
  </x:sheetData>
  <x:pageMargins left="0.7" right="0.7" top="0.75" bottom="0.75" header="0.3" footer="0.3"/>
  <x:tableParts count="1">
    <x:tablePart xmlns:r="http://schemas.openxmlformats.org/officeDocument/2006/relationships" r:id="Re0fffed3cafd4114"/>
  </x:tableParts>
</x:worksheet>
</file>